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25af58ebe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ed8e85e282284671"/>
    <x:sheet xmlns:r="http://schemas.openxmlformats.org/officeDocument/2006/relationships" name="Services" sheetId="2" r:id="Rda7ea54aa7e74075"/>
    <x:sheet xmlns:r="http://schemas.openxmlformats.org/officeDocument/2006/relationships" name="Teams" sheetId="3" r:id="R9062dcba2ca04dbc"/>
    <x:sheet xmlns:r="http://schemas.openxmlformats.org/officeDocument/2006/relationships" name="Clients" sheetId="4" r:id="Rc4e1b8c070e34986"/>
    <x:sheet xmlns:r="http://schemas.openxmlformats.org/officeDocument/2006/relationships" name="Client Services" sheetId="5" r:id="R524e0c07289e4635"/>
    <x:sheet xmlns:r="http://schemas.openxmlformats.org/officeDocument/2006/relationships" name="Schedule" sheetId="6" r:id="R17cb315739d84099"/>
    <x:sheet xmlns:r="http://schemas.openxmlformats.org/officeDocument/2006/relationships" name="Billing Profiles" sheetId="7" r:id="Rd3f743d8c6384924"/>
    <x:sheet xmlns:r="http://schemas.openxmlformats.org/officeDocument/2006/relationships" name="Client Billing" sheetId="8" r:id="Rf61620a9854f41cf"/>
    <x:sheet xmlns:r="http://schemas.openxmlformats.org/officeDocument/2006/relationships" name="Check" sheetId="9" r:id="R455235f17409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R #,##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8716C"/>
      <x:name val="Carlito"/>
    </x:font>
    <x:font>
      <x:b/>
      <x:sz val="11"/>
      <x:color rgb="FF262B28"/>
      <x:name val="Carlito"/>
    </x:font>
    <x:font>
      <x:sz val="11"/>
      <x:color rgb="FF262B28"/>
      <x:name val="Carlito"/>
    </x:font>
    <x:font>
      <x:b/>
      <x:sz val="11"/>
      <x:color rgb="FF68716C"/>
      <x:name val="Carlito"/>
    </x:font>
    <x:font>
      <x:b/>
      <x:sz val="10"/>
      <x:color rgb="FFFFFFFF"/>
      <x:name val="Carlito"/>
    </x:font>
    <x:font>
      <x:b/>
      <x:sz val="16"/>
      <x:color rgb="FF262B2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F4A46"/>
      </x:patternFill>
    </x:fill>
    <x:fill>
      <x:patternFill patternType="solid">
        <x:fgColor rgb="FFF2F4F3"/>
      </x:patternFill>
    </x:fill>
    <x:fill>
      <x:patternFill patternType="solid">
        <x:fgColor rgb="FFE7EFEA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16" xfId="0" applyNumberFormat="1" applyFont="1" applyFill="1" applyBorder="1"/>
    <x:xf numFmtId="0" fontId="5" fillId="3" borderId="17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0" fontId="5" fillId="3" borderId="17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3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4" xfId="0" applyNumberFormat="1" applyFont="1" applyFill="1" applyBorder="1" applyAlignment="1">
      <x:alignment horizontal="center" wrapText="1"/>
    </x:xf>
    <x:xf numFmtId="0" fontId="5" fillId="3" borderId="15" xfId="0" applyNumberFormat="1" applyFont="1" applyFill="1" applyBorder="1" applyAlignment="1">
      <x:alignment horizontal="center" wrapText="1"/>
    </x:xf>
    <x:xf numFmtId="0" fontId="5" fillId="3" borderId="16" xfId="0" applyNumberFormat="1" applyFont="1" applyFill="1" applyBorder="1" applyAlignment="1">
      <x:alignment horizontal="center" wrapText="1"/>
    </x:xf>
    <x:xf numFmtId="0" fontId="5" fillId="3" borderId="17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14" xfId="0" applyNumberFormat="1" applyFont="1" applyFill="1" applyBorder="1" applyAlignment="1">
      <x:alignment horizontal="center" vertical="center" wrapText="1"/>
    </x:xf>
    <x:xf numFmtId="0" fontId="5" fillId="3" borderId="15" xfId="0" applyNumberFormat="1" applyFont="1" applyFill="1" applyBorder="1" applyAlignment="1">
      <x:alignment horizontal="center" vertical="center" wrapText="1"/>
    </x:xf>
    <x:xf numFmtId="0" fontId="5" fillId="3" borderId="16" xfId="0" applyNumberFormat="1" applyFont="1" applyFill="1" applyBorder="1" applyAlignment="1">
      <x:alignment horizontal="center" vertical="center" wrapText="1"/>
    </x:xf>
    <x:xf numFmtId="0" fontId="5" fillId="3" borderId="17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2"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</x:font>
      <x:fill>
        <x:patternFill>
          <x:bgColor rgb="FFF9E3DF"/>
        </x:patternFill>
      </x:fill>
    </x:dxf>
    <x:dxf>
      <x:fill>
        <x:patternFill>
          <x:bgColor rgb="FFE5F0E8"/>
        </x:patternFill>
      </x:fill>
    </x:dxf>
    <x:dxf>
      <x:font>
        <x:b/>
        <x:sz val="16"/>
      </x:font>
      <x:fill>
        <x:patternFill>
          <x:bgColor rgb="FFE5F0E8"/>
        </x:patternFill>
      </x:fill>
    </x:dxf>
    <x:dxf>
      <x:font>
        <x:b/>
        <x:sz val="16"/>
      </x:font>
      <x:fill>
        <x:patternFill>
          <x:bgColor rgb="FFF9E3DF"/>
        </x:patternFill>
      </x:fill>
    </x:dxf>
    <x:dxf>
      <x:font>
        <x:b/>
      </x:font>
      <x:fill>
        <x:patternFill>
          <x:bgColor rgb="FFF9E3DF"/>
        </x:patternFill>
      </x:fill>
    </x:dxf>
    <x:dxf>
      <x:font>
        <x:b/>
      </x:font>
      <x:fill>
        <x:patternFill>
          <x:bgColor rgb="FFF9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0a4b7934744fe" /><Relationship Type="http://schemas.openxmlformats.org/officeDocument/2006/relationships/theme" Target="/xl/theme/theme1.xml" Id="Rd0ac22a4f3334300" /><Relationship Type="http://schemas.openxmlformats.org/officeDocument/2006/relationships/sharedStrings" Target="/xl/sharedStrings.xml" Id="Rdb2afed796ff4b1c" /><Relationship Type="http://schemas.openxmlformats.org/officeDocument/2006/relationships/worksheet" Target="/xl/worksheets/sheet1.xml" Id="Red8e85e282284671" /><Relationship Type="http://schemas.openxmlformats.org/officeDocument/2006/relationships/worksheet" Target="/xl/worksheets/sheet2.xml" Id="Rda7ea54aa7e74075" /><Relationship Type="http://schemas.openxmlformats.org/officeDocument/2006/relationships/worksheet" Target="/xl/worksheets/sheet3.xml" Id="R9062dcba2ca04dbc" /><Relationship Type="http://schemas.openxmlformats.org/officeDocument/2006/relationships/worksheet" Target="/xl/worksheets/sheet4.xml" Id="Rc4e1b8c070e34986" /><Relationship Type="http://schemas.openxmlformats.org/officeDocument/2006/relationships/worksheet" Target="/xl/worksheets/sheet5.xml" Id="R524e0c07289e4635" /><Relationship Type="http://schemas.openxmlformats.org/officeDocument/2006/relationships/worksheet" Target="/xl/worksheets/sheet6.xml" Id="R17cb315739d84099" /><Relationship Type="http://schemas.openxmlformats.org/officeDocument/2006/relationships/worksheet" Target="/xl/worksheets/sheet7.xml" Id="Rd3f743d8c6384924" /><Relationship Type="http://schemas.openxmlformats.org/officeDocument/2006/relationships/worksheet" Target="/xl/worksheets/sheet8.xml" Id="Rf61620a9854f41cf" /><Relationship Type="http://schemas.openxmlformats.org/officeDocument/2006/relationships/worksheet" Target="/xl/worksheets/sheet9.xml" Id="R455235f17409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6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4" t="str">
        <x:v>TuinBooks Business Workbook</x:v>
      </x:c>
      <x:c r="B1" s="4"/>
      <x:c r="C1" s="4"/>
      <x:c r="D1" s="4"/>
      <x:c r="E1" s="4"/>
      <x:c r="F1" s="4"/>
    </x:row>
    <x:row r="2" ht="30" customHeight="1">
      <x:c r="A2" s="9" t="str">
        <x:v>Complete this workbook once to set up a business, or export it later to review and update the business in Excel.</x:v>
      </x:c>
      <x:c r="B2" s="9"/>
      <x:c r="C2" s="9"/>
      <x:c r="D2" s="9"/>
      <x:c r="E2" s="9"/>
      <x:c r="F2" s="9"/>
    </x:row>
    <x:row r="4">
      <x:c r="A4" s="13" t="str">
        <x:v>Mode</x:v>
      </x:c>
      <x:c r="B4" s="17" t="str">
        <x:v>FULL SERVICE</x:v>
      </x:c>
      <x:c r="D4" s="47" t="str">
        <x:v>PASTE COMPANY LOGO HERE</x:v>
      </x:c>
      <x:c r="E4" s="48"/>
      <x:c r="F4" s="49"/>
    </x:row>
    <x:row r="5">
      <x:c r="A5" s="13" t="str">
        <x:v>Business Name</x:v>
      </x:c>
      <x:c r="B5" s="17" t="str"/>
      <x:c r="D5" s="50"/>
      <x:c r="E5" s="51"/>
      <x:c r="F5" s="52"/>
    </x:row>
    <x:row r="6">
      <x:c r="A6" s="13" t="str">
        <x:v>Main Contact</x:v>
      </x:c>
      <x:c r="B6" s="17" t="str"/>
      <x:c r="D6" s="50"/>
      <x:c r="E6" s="51"/>
      <x:c r="F6" s="52"/>
    </x:row>
    <x:row r="7">
      <x:c r="A7" s="13" t="str">
        <x:v>Phone</x:v>
      </x:c>
      <x:c r="B7" s="17" t="str"/>
      <x:c r="D7" s="50"/>
      <x:c r="E7" s="51"/>
      <x:c r="F7" s="52"/>
    </x:row>
    <x:row r="8">
      <x:c r="A8" s="13" t="str">
        <x:v>Email</x:v>
      </x:c>
      <x:c r="B8" s="17" t="str"/>
      <x:c r="D8" s="50"/>
      <x:c r="E8" s="51"/>
      <x:c r="F8" s="52"/>
    </x:row>
    <x:row r="9">
      <x:c r="A9" s="13" t="str">
        <x:v>Physical Address</x:v>
      </x:c>
      <x:c r="B9" s="17" t="str"/>
      <x:c r="D9" s="50"/>
      <x:c r="E9" s="51"/>
      <x:c r="F9" s="52"/>
    </x:row>
    <x:row r="10">
      <x:c r="A10" s="13" t="str">
        <x:v>Town / Suburb</x:v>
      </x:c>
      <x:c r="B10" s="17" t="str"/>
      <x:c r="D10" s="53"/>
      <x:c r="E10" s="54"/>
      <x:c r="F10" s="55"/>
    </x:row>
    <x:row r="11">
      <x:c r="A11" s="13" t="str">
        <x:v>Province</x:v>
      </x:c>
      <x:c r="B11" s="17" t="str"/>
    </x:row>
    <x:row r="12">
      <x:c r="A12" s="13" t="str">
        <x:v>Country</x:v>
      </x:c>
      <x:c r="B12" s="17" t="str">
        <x:v>South Africa</x:v>
      </x:c>
      <x:c r="D12" s="9" t="str">
        <x:f>IF($B$4="PLANNING ONLY","Planning Only: billing sheets are not required.","Full Service: complete Billing Profiles and Client Billing.")</x:f>
        <x:v>Full Service: complete Billing Profiles and Client Billing.</x:v>
      </x:c>
      <x:c r="E12" s="9"/>
      <x:c r="F12" s="9"/>
    </x:row>
    <x:row r="13">
      <x:c r="A13" s="13" t="str">
        <x:v>Currency</x:v>
      </x:c>
      <x:c r="B13" s="17" t="str">
        <x:v>ZAR</x:v>
      </x:c>
      <x:c r="D13" s="9"/>
      <x:c r="E13" s="9"/>
      <x:c r="F13" s="9"/>
    </x:row>
    <x:row r="14">
      <x:c r="A14" s="13" t="str">
        <x:v>Schedule</x:v>
      </x:c>
      <x:c r="B14" s="17" t="str">
        <x:v>STANDARD 4-WEEK MONTH</x:v>
      </x:c>
      <x:c r="D14" s="9"/>
      <x:c r="E14" s="9"/>
      <x:c r="F14" s="9"/>
    </x:row>
    <x:row r="17">
      <x:c r="A17" s="94" t="str">
        <x:v>Step</x:v>
      </x:c>
      <x:c r="B17" s="94" t="str">
        <x:v>What to complete</x:v>
      </x:c>
      <x:c r="C17" s="94" t="str">
        <x:v>Full Service</x:v>
      </x:c>
      <x:c r="D17" s="94" t="str">
        <x:v>Planning Only</x:v>
      </x:c>
    </x:row>
    <x:row r="18">
      <x:c r="A18" s="98" t="str">
        <x:v>1</x:v>
      </x:c>
      <x:c r="B18" s="98" t="str">
        <x:v>Services offered</x:v>
      </x:c>
      <x:c r="C18" s="98" t="str">
        <x:v>Required</x:v>
      </x:c>
      <x:c r="D18" s="98" t="str">
        <x:v>Required</x:v>
      </x:c>
    </x:row>
    <x:row r="19">
      <x:c r="A19" s="98" t="str">
        <x:v>2</x:v>
      </x:c>
      <x:c r="B19" s="98" t="str">
        <x:v>Team names</x:v>
      </x:c>
      <x:c r="C19" s="98" t="str">
        <x:v>Required</x:v>
      </x:c>
      <x:c r="D19" s="98" t="str">
        <x:v>Required</x:v>
      </x:c>
    </x:row>
    <x:row r="20">
      <x:c r="A20" s="98" t="str">
        <x:v>3</x:v>
      </x:c>
      <x:c r="B20" s="98" t="str">
        <x:v>Clients</x:v>
      </x:c>
      <x:c r="C20" s="98" t="str">
        <x:v>Required</x:v>
      </x:c>
      <x:c r="D20" s="98" t="str">
        <x:v>Required</x:v>
      </x:c>
    </x:row>
    <x:row r="21">
      <x:c r="A21" s="98" t="str">
        <x:v>4</x:v>
      </x:c>
      <x:c r="B21" s="98" t="str">
        <x:v>Services done for each client</x:v>
      </x:c>
      <x:c r="C21" s="98" t="str">
        <x:v>Required</x:v>
      </x:c>
      <x:c r="D21" s="98" t="str">
        <x:v>Required</x:v>
      </x:c>
    </x:row>
    <x:row r="22">
      <x:c r="A22" s="98" t="str">
        <x:v>5</x:v>
      </x:c>
      <x:c r="B22" s="98" t="str">
        <x:v>Standard 4-week schedule</x:v>
      </x:c>
      <x:c r="C22" s="98" t="str">
        <x:v>Required</x:v>
      </x:c>
      <x:c r="D22" s="98" t="str">
        <x:v>Required</x:v>
      </x:c>
    </x:row>
    <x:row r="23">
      <x:c r="A23" s="98" t="str">
        <x:v>6</x:v>
      </x:c>
      <x:c r="B23" s="98" t="str">
        <x:v>Billing Profiles</x:v>
      </x:c>
      <x:c r="C23" s="98" t="str">
        <x:v>Required</x:v>
      </x:c>
      <x:c r="D23" s="98" t="str">
        <x:v>Not used</x:v>
      </x:c>
    </x:row>
    <x:row r="24">
      <x:c r="A24" s="98" t="str">
        <x:v>7</x:v>
      </x:c>
      <x:c r="B24" s="98" t="str">
        <x:v>Client Billing</x:v>
      </x:c>
      <x:c r="C24" s="98" t="str">
        <x:v>Required</x:v>
      </x:c>
      <x:c r="D24" s="98" t="str">
        <x:v>Not used</x:v>
      </x:c>
    </x:row>
    <x:row r="25">
      <x:c r="A25" s="98" t="str">
        <x:v>8</x:v>
      </x:c>
      <x:c r="B25" s="98" t="str">
        <x:v>Check</x:v>
      </x:c>
      <x:c r="C25" s="98" t="str">
        <x:v>Resolve all alerts</x:v>
      </x:c>
      <x:c r="D25" s="98" t="str">
        <x:v>Resolve all alerts</x:v>
      </x:c>
    </x:row>
    <x:row r="27">
      <x:c r="A27" s="9" t="str">
        <x:v>Important: to remove a client from TuinBooks, set Status to Archived. Simply deleting a spreadsheet row does not remove that client.</x:v>
      </x:c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</x:sheetData>
  <x:mergeCells>
    <x:mergeCell ref="A1:F1"/>
    <x:mergeCell ref="A2:F2"/>
    <x:mergeCell ref="D4:F10"/>
    <x:mergeCell ref="D12:F14"/>
    <x:mergeCell ref="A27:F28"/>
  </x:mergeCells>
  <x:dataValidations count="1">
    <x:dataValidation type="list" sqref="B4">
      <x:formula1>"FULL SERVICE,PLANNING ONLY"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18" hidden="0" customWidth="1"/>
  </x:cols>
  <x:sheetData>
    <x:row r="1" ht="28" customHeight="1">
      <x:c r="A1" s="4" t="str">
        <x:v>Services</x:v>
      </x:c>
      <x:c r="B1" s="4"/>
      <x:c r="C1" s="4"/>
    </x:row>
    <x:row r="2" ht="30" customHeight="1">
      <x:c r="A2" s="9" t="str">
        <x:v>This is the master list. Every service used under Client Services must appear here.</x:v>
      </x:c>
      <x:c r="B2" s="9"/>
      <x:c r="C2" s="9"/>
    </x:row>
    <x:row r="4">
      <x:c r="A4" s="94" t="str">
        <x:v>Service</x:v>
      </x:c>
      <x:c r="B4" s="94" t="str">
        <x:v>Notes</x:v>
      </x:c>
      <x:c r="C4" s="94" t="str">
        <x:v>Check</x:v>
      </x:c>
    </x:row>
    <x:row r="5">
      <x:c r="A5" t="str">
        <x:v>Garden Maintenance</x:v>
      </x:c>
      <x:c r="C5" s="100" t="str">
        <x:f>IF(A5="","",IF(COUNTIF($A$5:$A$104,A5)&gt;1,"DUPLICATE","OK"))</x:f>
        <x:v>OK</x:v>
      </x:c>
    </x:row>
    <x:row r="6">
      <x:c r="A6" t="str">
        <x:v>Lawn Mowing</x:v>
      </x:c>
      <x:c r="C6" s="100" t="str">
        <x:f>IF(A6="","",IF(COUNTIF($A$5:$A$104,A6)&gt;1,"DUPLICATE","OK"))</x:f>
        <x:v>OK</x:v>
      </x:c>
    </x:row>
    <x:row r="7">
      <x:c r="A7" t="str">
        <x:v>Lawn Care</x:v>
      </x:c>
      <x:c r="C7" s="100" t="str">
        <x:f>IF(A7="","",IF(COUNTIF($A$5:$A$104,A7)&gt;1,"DUPLICATE","OK"))</x:f>
        <x:v>OK</x:v>
      </x:c>
    </x:row>
    <x:row r="8">
      <x:c r="A8" t="str">
        <x:v>Hedge Trimming</x:v>
      </x:c>
      <x:c r="C8" s="100" t="str">
        <x:f>IF(A8="","",IF(COUNTIF($A$5:$A$104,A8)&gt;1,"DUPLICATE","OK"))</x:f>
        <x:v>OK</x:v>
      </x:c>
    </x:row>
    <x:row r="9">
      <x:c r="A9" t="str">
        <x:v>Pruning</x:v>
      </x:c>
      <x:c r="C9" s="100" t="str">
        <x:f>IF(A9="","",IF(COUNTIF($A$5:$A$104,A9)&gt;1,"DUPLICATE","OK"))</x:f>
        <x:v>OK</x:v>
      </x:c>
    </x:row>
    <x:row r="10">
      <x:c r="A10" t="str">
        <x:v>Weeding</x:v>
      </x:c>
      <x:c r="C10" s="100" t="str">
        <x:f>IF(A10="","",IF(COUNTIF($A$5:$A$104,A10)&gt;1,"DUPLICATE","OK"))</x:f>
        <x:v>OK</x:v>
      </x:c>
    </x:row>
    <x:row r="11">
      <x:c r="A11" t="str">
        <x:v>Irrigation</x:v>
      </x:c>
      <x:c r="C11" s="100" t="str">
        <x:f>IF(A11="","",IF(COUNTIF($A$5:$A$104,A11)&gt;1,"DUPLICATE","OK"))</x:f>
        <x:v>OK</x:v>
      </x:c>
    </x:row>
    <x:row r="12">
      <x:c r="A12" t="str">
        <x:v>Tree Work</x:v>
      </x:c>
      <x:c r="C12" s="100" t="str">
        <x:f>IF(A12="","",IF(COUNTIF($A$5:$A$104,A12)&gt;1,"DUPLICATE","OK"))</x:f>
        <x:v>OK</x:v>
      </x:c>
    </x:row>
    <x:row r="13">
      <x:c r="A13" t="str">
        <x:v>Garden Clean-up</x:v>
      </x:c>
      <x:c r="C13" s="100" t="str">
        <x:f>IF(A13="","",IF(COUNTIF($A$5:$A$104,A13)&gt;1,"DUPLICATE","OK"))</x:f>
        <x:v>OK</x:v>
      </x:c>
    </x:row>
    <x:row r="14">
      <x:c r="A14" t="str">
        <x:v>Garden Refuse Removal</x:v>
      </x:c>
      <x:c r="C14" s="100" t="str">
        <x:f>IF(A14="","",IF(COUNTIF($A$5:$A$104,A14)&gt;1,"DUPLICATE","OK"))</x:f>
        <x:v>OK</x:v>
      </x:c>
    </x:row>
    <x:row r="15">
      <x:c r="A15" t="str">
        <x:v>Landscaping</x:v>
      </x:c>
      <x:c r="C15" s="100" t="str">
        <x:f>IF(A15="","",IF(COUNTIF($A$5:$A$104,A15)&gt;1,"DUPLICATE","OK"))</x:f>
        <x:v>OK</x:v>
      </x:c>
    </x:row>
    <x:row r="16">
      <x:c r="A16" t="str">
        <x:v>Once-off Garden Service</x:v>
      </x:c>
      <x:c r="C16" s="100" t="str">
        <x:f>IF(A16="","",IF(COUNTIF($A$5:$A$104,A16)&gt;1,"DUPLICATE","OK"))</x:f>
        <x:v>OK</x:v>
      </x:c>
    </x:row>
    <x:row r="17">
      <x:c r="C17" s="100" t="str">
        <x:f>IF(A17="","",IF(COUNTIF($A$5:$A$104,A17)&gt;1,"DUPLICATE","OK"))</x:f>
      </x:c>
    </x:row>
    <x:row r="18">
      <x:c r="C18" s="100" t="str">
        <x:f>IF(A18="","",IF(COUNTIF($A$5:$A$104,A18)&gt;1,"DUPLICATE","OK"))</x:f>
      </x:c>
    </x:row>
    <x:row r="19">
      <x:c r="C19" s="100" t="str">
        <x:f>IF(A19="","",IF(COUNTIF($A$5:$A$104,A19)&gt;1,"DUPLICATE","OK"))</x:f>
      </x:c>
    </x:row>
    <x:row r="20">
      <x:c r="C20" s="100" t="str">
        <x:f>IF(A20="","",IF(COUNTIF($A$5:$A$104,A20)&gt;1,"DUPLICATE","OK"))</x:f>
      </x:c>
    </x:row>
    <x:row r="21">
      <x:c r="C21" s="100" t="str">
        <x:f>IF(A21="","",IF(COUNTIF($A$5:$A$104,A21)&gt;1,"DUPLICATE","OK"))</x:f>
      </x:c>
    </x:row>
    <x:row r="22">
      <x:c r="C22" s="100" t="str">
        <x:f>IF(A22="","",IF(COUNTIF($A$5:$A$104,A22)&gt;1,"DUPLICATE","OK"))</x:f>
      </x:c>
    </x:row>
    <x:row r="23">
      <x:c r="C23" s="100" t="str">
        <x:f>IF(A23="","",IF(COUNTIF($A$5:$A$104,A23)&gt;1,"DUPLICATE","OK"))</x:f>
      </x:c>
    </x:row>
    <x:row r="24">
      <x:c r="C24" s="100" t="str">
        <x:f>IF(A24="","",IF(COUNTIF($A$5:$A$104,A24)&gt;1,"DUPLICATE","OK"))</x:f>
      </x:c>
    </x:row>
    <x:row r="25">
      <x:c r="C25" s="100" t="str">
        <x:f>IF(A25="","",IF(COUNTIF($A$5:$A$104,A25)&gt;1,"DUPLICATE","OK"))</x:f>
      </x:c>
    </x:row>
    <x:row r="26">
      <x:c r="C26" s="100" t="str">
        <x:f>IF(A26="","",IF(COUNTIF($A$5:$A$104,A26)&gt;1,"DUPLICATE","OK"))</x:f>
      </x:c>
    </x:row>
    <x:row r="27">
      <x:c r="C27" s="100" t="str">
        <x:f>IF(A27="","",IF(COUNTIF($A$5:$A$104,A27)&gt;1,"DUPLICATE","OK"))</x:f>
      </x:c>
    </x:row>
    <x:row r="28">
      <x:c r="C28" s="100" t="str">
        <x:f>IF(A28="","",IF(COUNTIF($A$5:$A$104,A28)&gt;1,"DUPLICATE","OK"))</x:f>
      </x:c>
    </x:row>
    <x:row r="29">
      <x:c r="C29" s="100" t="str">
        <x:f>IF(A29="","",IF(COUNTIF($A$5:$A$104,A29)&gt;1,"DUPLICATE","OK"))</x:f>
      </x:c>
    </x:row>
    <x:row r="30">
      <x:c r="C30" s="100" t="str">
        <x:f>IF(A30="","",IF(COUNTIF($A$5:$A$104,A30)&gt;1,"DUPLICATE","OK"))</x:f>
      </x:c>
    </x:row>
    <x:row r="31">
      <x:c r="C31" s="100" t="str">
        <x:f>IF(A31="","",IF(COUNTIF($A$5:$A$104,A31)&gt;1,"DUPLICATE","OK"))</x:f>
      </x:c>
    </x:row>
    <x:row r="32">
      <x:c r="C32" s="100" t="str">
        <x:f>IF(A32="","",IF(COUNTIF($A$5:$A$104,A32)&gt;1,"DUPLICATE","OK"))</x:f>
      </x:c>
    </x:row>
    <x:row r="33">
      <x:c r="C33" s="100" t="str">
        <x:f>IF(A33="","",IF(COUNTIF($A$5:$A$104,A33)&gt;1,"DUPLICATE","OK"))</x:f>
      </x:c>
    </x:row>
    <x:row r="34">
      <x:c r="C34" s="100" t="str">
        <x:f>IF(A34="","",IF(COUNTIF($A$5:$A$104,A34)&gt;1,"DUPLICATE","OK"))</x:f>
      </x:c>
    </x:row>
    <x:row r="35">
      <x:c r="C35" s="100" t="str">
        <x:f>IF(A35="","",IF(COUNTIF($A$5:$A$104,A35)&gt;1,"DUPLICATE","OK"))</x:f>
      </x:c>
    </x:row>
    <x:row r="36">
      <x:c r="C36" s="100" t="str">
        <x:f>IF(A36="","",IF(COUNTIF($A$5:$A$104,A36)&gt;1,"DUPLICATE","OK"))</x:f>
      </x:c>
    </x:row>
    <x:row r="37">
      <x:c r="C37" s="100" t="str">
        <x:f>IF(A37="","",IF(COUNTIF($A$5:$A$104,A37)&gt;1,"DUPLICATE","OK"))</x:f>
      </x:c>
    </x:row>
    <x:row r="38">
      <x:c r="C38" s="100" t="str">
        <x:f>IF(A38="","",IF(COUNTIF($A$5:$A$104,A38)&gt;1,"DUPLICATE","OK"))</x:f>
      </x:c>
    </x:row>
    <x:row r="39">
      <x:c r="C39" s="100" t="str">
        <x:f>IF(A39="","",IF(COUNTIF($A$5:$A$104,A39)&gt;1,"DUPLICATE","OK"))</x:f>
      </x:c>
    </x:row>
    <x:row r="40">
      <x:c r="C40" s="100" t="str">
        <x:f>IF(A40="","",IF(COUNTIF($A$5:$A$104,A40)&gt;1,"DUPLICATE","OK"))</x:f>
      </x:c>
    </x:row>
    <x:row r="41">
      <x:c r="C41" s="100" t="str">
        <x:f>IF(A41="","",IF(COUNTIF($A$5:$A$104,A41)&gt;1,"DUPLICATE","OK"))</x:f>
      </x:c>
    </x:row>
    <x:row r="42">
      <x:c r="C42" s="100" t="str">
        <x:f>IF(A42="","",IF(COUNTIF($A$5:$A$104,A42)&gt;1,"DUPLICATE","OK"))</x:f>
      </x:c>
    </x:row>
    <x:row r="43">
      <x:c r="C43" s="100" t="str">
        <x:f>IF(A43="","",IF(COUNTIF($A$5:$A$104,A43)&gt;1,"DUPLICATE","OK"))</x:f>
      </x:c>
    </x:row>
    <x:row r="44">
      <x:c r="C44" s="100" t="str">
        <x:f>IF(A44="","",IF(COUNTIF($A$5:$A$104,A44)&gt;1,"DUPLICATE","OK"))</x:f>
      </x:c>
    </x:row>
    <x:row r="45">
      <x:c r="C45" s="100" t="str">
        <x:f>IF(A45="","",IF(COUNTIF($A$5:$A$104,A45)&gt;1,"DUPLICATE","OK"))</x:f>
      </x:c>
    </x:row>
    <x:row r="46">
      <x:c r="C46" s="100" t="str">
        <x:f>IF(A46="","",IF(COUNTIF($A$5:$A$104,A46)&gt;1,"DUPLICATE","OK"))</x:f>
      </x:c>
    </x:row>
    <x:row r="47">
      <x:c r="C47" s="100" t="str">
        <x:f>IF(A47="","",IF(COUNTIF($A$5:$A$104,A47)&gt;1,"DUPLICATE","OK"))</x:f>
      </x:c>
    </x:row>
    <x:row r="48">
      <x:c r="C48" s="100" t="str">
        <x:f>IF(A48="","",IF(COUNTIF($A$5:$A$104,A48)&gt;1,"DUPLICATE","OK"))</x:f>
      </x:c>
    </x:row>
    <x:row r="49">
      <x:c r="C49" s="100" t="str">
        <x:f>IF(A49="","",IF(COUNTIF($A$5:$A$104,A49)&gt;1,"DUPLICATE","OK"))</x:f>
      </x:c>
    </x:row>
    <x:row r="50">
      <x:c r="C50" s="100" t="str">
        <x:f>IF(A50="","",IF(COUNTIF($A$5:$A$104,A50)&gt;1,"DUPLICATE","OK"))</x:f>
      </x:c>
    </x:row>
    <x:row r="51">
      <x:c r="C51" s="100" t="str">
        <x:f>IF(A51="","",IF(COUNTIF($A$5:$A$104,A51)&gt;1,"DUPLICATE","OK"))</x:f>
      </x:c>
    </x:row>
    <x:row r="52">
      <x:c r="C52" s="100" t="str">
        <x:f>IF(A52="","",IF(COUNTIF($A$5:$A$104,A52)&gt;1,"DUPLICATE","OK"))</x:f>
      </x:c>
    </x:row>
    <x:row r="53">
      <x:c r="C53" s="100" t="str">
        <x:f>IF(A53="","",IF(COUNTIF($A$5:$A$104,A53)&gt;1,"DUPLICATE","OK"))</x:f>
      </x:c>
    </x:row>
    <x:row r="54">
      <x:c r="C54" s="100" t="str">
        <x:f>IF(A54="","",IF(COUNTIF($A$5:$A$104,A54)&gt;1,"DUPLICATE","OK"))</x:f>
      </x:c>
    </x:row>
    <x:row r="55">
      <x:c r="C55" s="100" t="str">
        <x:f>IF(A55="","",IF(COUNTIF($A$5:$A$104,A55)&gt;1,"DUPLICATE","OK"))</x:f>
      </x:c>
    </x:row>
    <x:row r="56">
      <x:c r="C56" s="100" t="str">
        <x:f>IF(A56="","",IF(COUNTIF($A$5:$A$104,A56)&gt;1,"DUPLICATE","OK"))</x:f>
      </x:c>
    </x:row>
    <x:row r="57">
      <x:c r="C57" s="100" t="str">
        <x:f>IF(A57="","",IF(COUNTIF($A$5:$A$104,A57)&gt;1,"DUPLICATE","OK"))</x:f>
      </x:c>
    </x:row>
    <x:row r="58">
      <x:c r="C58" s="100" t="str">
        <x:f>IF(A58="","",IF(COUNTIF($A$5:$A$104,A58)&gt;1,"DUPLICATE","OK"))</x:f>
      </x:c>
    </x:row>
    <x:row r="59">
      <x:c r="C59" s="100" t="str">
        <x:f>IF(A59="","",IF(COUNTIF($A$5:$A$104,A59)&gt;1,"DUPLICATE","OK"))</x:f>
      </x:c>
    </x:row>
    <x:row r="60">
      <x:c r="C60" s="100" t="str">
        <x:f>IF(A60="","",IF(COUNTIF($A$5:$A$104,A60)&gt;1,"DUPLICATE","OK"))</x:f>
      </x:c>
    </x:row>
    <x:row r="61">
      <x:c r="C61" s="100" t="str">
        <x:f>IF(A61="","",IF(COUNTIF($A$5:$A$104,A61)&gt;1,"DUPLICATE","OK"))</x:f>
      </x:c>
    </x:row>
    <x:row r="62">
      <x:c r="C62" s="100" t="str">
        <x:f>IF(A62="","",IF(COUNTIF($A$5:$A$104,A62)&gt;1,"DUPLICATE","OK"))</x:f>
      </x:c>
    </x:row>
    <x:row r="63">
      <x:c r="C63" s="100" t="str">
        <x:f>IF(A63="","",IF(COUNTIF($A$5:$A$104,A63)&gt;1,"DUPLICATE","OK"))</x:f>
      </x:c>
    </x:row>
    <x:row r="64">
      <x:c r="C64" s="100" t="str">
        <x:f>IF(A64="","",IF(COUNTIF($A$5:$A$104,A64)&gt;1,"DUPLICATE","OK"))</x:f>
      </x:c>
    </x:row>
    <x:row r="65">
      <x:c r="C65" s="100" t="str">
        <x:f>IF(A65="","",IF(COUNTIF($A$5:$A$104,A65)&gt;1,"DUPLICATE","OK"))</x:f>
      </x:c>
    </x:row>
    <x:row r="66">
      <x:c r="C66" s="100" t="str">
        <x:f>IF(A66="","",IF(COUNTIF($A$5:$A$104,A66)&gt;1,"DUPLICATE","OK"))</x:f>
      </x:c>
    </x:row>
    <x:row r="67">
      <x:c r="C67" s="100" t="str">
        <x:f>IF(A67="","",IF(COUNTIF($A$5:$A$104,A67)&gt;1,"DUPLICATE","OK"))</x:f>
      </x:c>
    </x:row>
    <x:row r="68">
      <x:c r="C68" s="100" t="str">
        <x:f>IF(A68="","",IF(COUNTIF($A$5:$A$104,A68)&gt;1,"DUPLICATE","OK"))</x:f>
      </x:c>
    </x:row>
    <x:row r="69">
      <x:c r="C69" s="100" t="str">
        <x:f>IF(A69="","",IF(COUNTIF($A$5:$A$104,A69)&gt;1,"DUPLICATE","OK"))</x:f>
      </x:c>
    </x:row>
    <x:row r="70">
      <x:c r="C70" s="100" t="str">
        <x:f>IF(A70="","",IF(COUNTIF($A$5:$A$104,A70)&gt;1,"DUPLICATE","OK"))</x:f>
      </x:c>
    </x:row>
    <x:row r="71">
      <x:c r="C71" s="100" t="str">
        <x:f>IF(A71="","",IF(COUNTIF($A$5:$A$104,A71)&gt;1,"DUPLICATE","OK"))</x:f>
      </x:c>
    </x:row>
    <x:row r="72">
      <x:c r="C72" s="100" t="str">
        <x:f>IF(A72="","",IF(COUNTIF($A$5:$A$104,A72)&gt;1,"DUPLICATE","OK"))</x:f>
      </x:c>
    </x:row>
    <x:row r="73">
      <x:c r="C73" s="100" t="str">
        <x:f>IF(A73="","",IF(COUNTIF($A$5:$A$104,A73)&gt;1,"DUPLICATE","OK"))</x:f>
      </x:c>
    </x:row>
    <x:row r="74">
      <x:c r="C74" s="100" t="str">
        <x:f>IF(A74="","",IF(COUNTIF($A$5:$A$104,A74)&gt;1,"DUPLICATE","OK"))</x:f>
      </x:c>
    </x:row>
    <x:row r="75">
      <x:c r="C75" s="100" t="str">
        <x:f>IF(A75="","",IF(COUNTIF($A$5:$A$104,A75)&gt;1,"DUPLICATE","OK"))</x:f>
      </x:c>
    </x:row>
    <x:row r="76">
      <x:c r="C76" s="100" t="str">
        <x:f>IF(A76="","",IF(COUNTIF($A$5:$A$104,A76)&gt;1,"DUPLICATE","OK"))</x:f>
      </x:c>
    </x:row>
    <x:row r="77">
      <x:c r="C77" s="100" t="str">
        <x:f>IF(A77="","",IF(COUNTIF($A$5:$A$104,A77)&gt;1,"DUPLICATE","OK"))</x:f>
      </x:c>
    </x:row>
    <x:row r="78">
      <x:c r="C78" s="100" t="str">
        <x:f>IF(A78="","",IF(COUNTIF($A$5:$A$104,A78)&gt;1,"DUPLICATE","OK"))</x:f>
      </x:c>
    </x:row>
    <x:row r="79">
      <x:c r="C79" s="100" t="str">
        <x:f>IF(A79="","",IF(COUNTIF($A$5:$A$104,A79)&gt;1,"DUPLICATE","OK"))</x:f>
      </x:c>
    </x:row>
    <x:row r="80">
      <x:c r="C80" s="100" t="str">
        <x:f>IF(A80="","",IF(COUNTIF($A$5:$A$104,A80)&gt;1,"DUPLICATE","OK"))</x:f>
      </x:c>
    </x:row>
    <x:row r="81">
      <x:c r="C81" s="100" t="str">
        <x:f>IF(A81="","",IF(COUNTIF($A$5:$A$104,A81)&gt;1,"DUPLICATE","OK"))</x:f>
      </x:c>
    </x:row>
    <x:row r="82">
      <x:c r="C82" s="100" t="str">
        <x:f>IF(A82="","",IF(COUNTIF($A$5:$A$104,A82)&gt;1,"DUPLICATE","OK"))</x:f>
      </x:c>
    </x:row>
    <x:row r="83">
      <x:c r="C83" s="100" t="str">
        <x:f>IF(A83="","",IF(COUNTIF($A$5:$A$104,A83)&gt;1,"DUPLICATE","OK"))</x:f>
      </x:c>
    </x:row>
    <x:row r="84">
      <x:c r="C84" s="100" t="str">
        <x:f>IF(A84="","",IF(COUNTIF($A$5:$A$104,A84)&gt;1,"DUPLICATE","OK"))</x:f>
      </x:c>
    </x:row>
    <x:row r="85">
      <x:c r="C85" s="100" t="str">
        <x:f>IF(A85="","",IF(COUNTIF($A$5:$A$104,A85)&gt;1,"DUPLICATE","OK"))</x:f>
      </x:c>
    </x:row>
    <x:row r="86">
      <x:c r="C86" s="100" t="str">
        <x:f>IF(A86="","",IF(COUNTIF($A$5:$A$104,A86)&gt;1,"DUPLICATE","OK"))</x:f>
      </x:c>
    </x:row>
    <x:row r="87">
      <x:c r="C87" s="100" t="str">
        <x:f>IF(A87="","",IF(COUNTIF($A$5:$A$104,A87)&gt;1,"DUPLICATE","OK"))</x:f>
      </x:c>
    </x:row>
    <x:row r="88">
      <x:c r="C88" s="100" t="str">
        <x:f>IF(A88="","",IF(COUNTIF($A$5:$A$104,A88)&gt;1,"DUPLICATE","OK"))</x:f>
      </x:c>
    </x:row>
    <x:row r="89">
      <x:c r="C89" s="100" t="str">
        <x:f>IF(A89="","",IF(COUNTIF($A$5:$A$104,A89)&gt;1,"DUPLICATE","OK"))</x:f>
      </x:c>
    </x:row>
    <x:row r="90">
      <x:c r="C90" s="100" t="str">
        <x:f>IF(A90="","",IF(COUNTIF($A$5:$A$104,A90)&gt;1,"DUPLICATE","OK"))</x:f>
      </x:c>
    </x:row>
    <x:row r="91">
      <x:c r="C91" s="100" t="str">
        <x:f>IF(A91="","",IF(COUNTIF($A$5:$A$104,A91)&gt;1,"DUPLICATE","OK"))</x:f>
      </x:c>
    </x:row>
    <x:row r="92">
      <x:c r="C92" s="100" t="str">
        <x:f>IF(A92="","",IF(COUNTIF($A$5:$A$104,A92)&gt;1,"DUPLICATE","OK"))</x:f>
      </x:c>
    </x:row>
    <x:row r="93">
      <x:c r="C93" s="100" t="str">
        <x:f>IF(A93="","",IF(COUNTIF($A$5:$A$104,A93)&gt;1,"DUPLICATE","OK"))</x:f>
      </x:c>
    </x:row>
    <x:row r="94">
      <x:c r="C94" s="100" t="str">
        <x:f>IF(A94="","",IF(COUNTIF($A$5:$A$104,A94)&gt;1,"DUPLICATE","OK"))</x:f>
      </x:c>
    </x:row>
    <x:row r="95">
      <x:c r="C95" s="100" t="str">
        <x:f>IF(A95="","",IF(COUNTIF($A$5:$A$104,A95)&gt;1,"DUPLICATE","OK"))</x:f>
      </x:c>
    </x:row>
    <x:row r="96">
      <x:c r="C96" s="100" t="str">
        <x:f>IF(A96="","",IF(COUNTIF($A$5:$A$104,A96)&gt;1,"DUPLICATE","OK"))</x:f>
      </x:c>
    </x:row>
    <x:row r="97">
      <x:c r="C97" s="100" t="str">
        <x:f>IF(A97="","",IF(COUNTIF($A$5:$A$104,A97)&gt;1,"DUPLICATE","OK"))</x:f>
      </x:c>
    </x:row>
    <x:row r="98">
      <x:c r="C98" s="100" t="str">
        <x:f>IF(A98="","",IF(COUNTIF($A$5:$A$104,A98)&gt;1,"DUPLICATE","OK"))</x:f>
      </x:c>
    </x:row>
    <x:row r="99">
      <x:c r="C99" s="100" t="str">
        <x:f>IF(A99="","",IF(COUNTIF($A$5:$A$104,A99)&gt;1,"DUPLICATE","OK"))</x:f>
      </x:c>
    </x:row>
    <x:row r="100">
      <x:c r="C100" s="100" t="str">
        <x:f>IF(A100="","",IF(COUNTIF($A$5:$A$104,A100)&gt;1,"DUPLICATE","OK"))</x:f>
      </x:c>
    </x:row>
    <x:row r="101">
      <x:c r="C101" s="100" t="str">
        <x:f>IF(A101="","",IF(COUNTIF($A$5:$A$104,A101)&gt;1,"DUPLICATE","OK"))</x:f>
      </x:c>
    </x:row>
    <x:row r="102">
      <x:c r="C102" s="100" t="str">
        <x:f>IF(A102="","",IF(COUNTIF($A$5:$A$104,A102)&gt;1,"DUPLICATE","OK"))</x:f>
      </x:c>
    </x:row>
    <x:row r="103">
      <x:c r="C103" s="100" t="str">
        <x:f>IF(A103="","",IF(COUNTIF($A$5:$A$104,A103)&gt;1,"DUPLICATE","OK"))</x:f>
      </x:c>
    </x:row>
    <x:row r="104">
      <x:c r="C104" s="100" t="str">
        <x:f>IF(A104="","",IF(COUNTIF($A$5:$A$104,A104)&gt;1,"DUPLICATE","OK"))</x:f>
      </x:c>
    </x:row>
  </x:sheetData>
  <x:mergeCells>
    <x:mergeCell ref="A1:C1"/>
    <x:mergeCell ref="A2:C2"/>
  </x:mergeCells>
  <x:conditionalFormatting sqref="C5:C104">
    <x:cfRule type="expression" dxfId="0" priority="1">
      <x:formula>AND($C5&lt;&gt;"",$C5&lt;&gt;"OK")</x:formula>
    </x:cfRule>
    <x:cfRule type="expression" dxfId="1" priority="2">
      <x:formula>$C5="OK"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18" hidden="0" customWidth="1"/>
  </x:cols>
  <x:sheetData>
    <x:row r="1" ht="28" customHeight="1">
      <x:c r="A1" s="4" t="str">
        <x:v>Teams</x:v>
      </x:c>
      <x:c r="B1" s="4"/>
      <x:c r="C1" s="4"/>
    </x:row>
    <x:row r="2" ht="30" customHeight="1">
      <x:c r="A2" s="9" t="str">
        <x:v>Enter the team names exactly as the business knows them. TuinBooks handles the technical setup in the background.</x:v>
      </x:c>
      <x:c r="B2" s="9"/>
      <x:c r="C2" s="9"/>
    </x:row>
    <x:row r="4">
      <x:c r="A4" s="94" t="str">
        <x:v>Team Name</x:v>
      </x:c>
      <x:c r="B4" s="94" t="str">
        <x:v>Notes</x:v>
      </x:c>
      <x:c r="C4" s="94" t="str">
        <x:v>Check</x:v>
      </x:c>
    </x:row>
    <x:row r="5">
      <x:c r="C5" s="100" t="str">
        <x:f>IF(A5="","",IF(COUNTIF($A$5:$A$104,A5)&gt;1,"DUPLICATE","OK"))</x:f>
      </x:c>
    </x:row>
    <x:row r="6">
      <x:c r="C6" s="100" t="str">
        <x:f>IF(A6="","",IF(COUNTIF($A$5:$A$104,A6)&gt;1,"DUPLICATE","OK"))</x:f>
      </x:c>
    </x:row>
    <x:row r="7">
      <x:c r="C7" s="100" t="str">
        <x:f>IF(A7="","",IF(COUNTIF($A$5:$A$104,A7)&gt;1,"DUPLICATE","OK"))</x:f>
      </x:c>
    </x:row>
    <x:row r="8">
      <x:c r="C8" s="100" t="str">
        <x:f>IF(A8="","",IF(COUNTIF($A$5:$A$104,A8)&gt;1,"DUPLICATE","OK"))</x:f>
      </x:c>
    </x:row>
    <x:row r="9">
      <x:c r="C9" s="100" t="str">
        <x:f>IF(A9="","",IF(COUNTIF($A$5:$A$104,A9)&gt;1,"DUPLICATE","OK"))</x:f>
      </x:c>
    </x:row>
    <x:row r="10">
      <x:c r="C10" s="100" t="str">
        <x:f>IF(A10="","",IF(COUNTIF($A$5:$A$104,A10)&gt;1,"DUPLICATE","OK"))</x:f>
      </x:c>
    </x:row>
    <x:row r="11">
      <x:c r="C11" s="100" t="str">
        <x:f>IF(A11="","",IF(COUNTIF($A$5:$A$104,A11)&gt;1,"DUPLICATE","OK"))</x:f>
      </x:c>
    </x:row>
    <x:row r="12">
      <x:c r="C12" s="100" t="str">
        <x:f>IF(A12="","",IF(COUNTIF($A$5:$A$104,A12)&gt;1,"DUPLICATE","OK"))</x:f>
      </x:c>
    </x:row>
    <x:row r="13">
      <x:c r="C13" s="100" t="str">
        <x:f>IF(A13="","",IF(COUNTIF($A$5:$A$104,A13)&gt;1,"DUPLICATE","OK"))</x:f>
      </x:c>
    </x:row>
    <x:row r="14">
      <x:c r="C14" s="100" t="str">
        <x:f>IF(A14="","",IF(COUNTIF($A$5:$A$104,A14)&gt;1,"DUPLICATE","OK"))</x:f>
      </x:c>
    </x:row>
    <x:row r="15">
      <x:c r="C15" s="100" t="str">
        <x:f>IF(A15="","",IF(COUNTIF($A$5:$A$104,A15)&gt;1,"DUPLICATE","OK"))</x:f>
      </x:c>
    </x:row>
    <x:row r="16">
      <x:c r="C16" s="100" t="str">
        <x:f>IF(A16="","",IF(COUNTIF($A$5:$A$104,A16)&gt;1,"DUPLICATE","OK"))</x:f>
      </x:c>
    </x:row>
    <x:row r="17">
      <x:c r="C17" s="100" t="str">
        <x:f>IF(A17="","",IF(COUNTIF($A$5:$A$104,A17)&gt;1,"DUPLICATE","OK"))</x:f>
      </x:c>
    </x:row>
    <x:row r="18">
      <x:c r="C18" s="100" t="str">
        <x:f>IF(A18="","",IF(COUNTIF($A$5:$A$104,A18)&gt;1,"DUPLICATE","OK"))</x:f>
      </x:c>
    </x:row>
    <x:row r="19">
      <x:c r="C19" s="100" t="str">
        <x:f>IF(A19="","",IF(COUNTIF($A$5:$A$104,A19)&gt;1,"DUPLICATE","OK"))</x:f>
      </x:c>
    </x:row>
    <x:row r="20">
      <x:c r="C20" s="100" t="str">
        <x:f>IF(A20="","",IF(COUNTIF($A$5:$A$104,A20)&gt;1,"DUPLICATE","OK"))</x:f>
      </x:c>
    </x:row>
    <x:row r="21">
      <x:c r="C21" s="100" t="str">
        <x:f>IF(A21="","",IF(COUNTIF($A$5:$A$104,A21)&gt;1,"DUPLICATE","OK"))</x:f>
      </x:c>
    </x:row>
    <x:row r="22">
      <x:c r="C22" s="100" t="str">
        <x:f>IF(A22="","",IF(COUNTIF($A$5:$A$104,A22)&gt;1,"DUPLICATE","OK"))</x:f>
      </x:c>
    </x:row>
    <x:row r="23">
      <x:c r="C23" s="100" t="str">
        <x:f>IF(A23="","",IF(COUNTIF($A$5:$A$104,A23)&gt;1,"DUPLICATE","OK"))</x:f>
      </x:c>
    </x:row>
    <x:row r="24">
      <x:c r="C24" s="100" t="str">
        <x:f>IF(A24="","",IF(COUNTIF($A$5:$A$104,A24)&gt;1,"DUPLICATE","OK"))</x:f>
      </x:c>
    </x:row>
    <x:row r="25">
      <x:c r="C25" s="100" t="str">
        <x:f>IF(A25="","",IF(COUNTIF($A$5:$A$104,A25)&gt;1,"DUPLICATE","OK"))</x:f>
      </x:c>
    </x:row>
    <x:row r="26">
      <x:c r="C26" s="100" t="str">
        <x:f>IF(A26="","",IF(COUNTIF($A$5:$A$104,A26)&gt;1,"DUPLICATE","OK"))</x:f>
      </x:c>
    </x:row>
    <x:row r="27">
      <x:c r="C27" s="100" t="str">
        <x:f>IF(A27="","",IF(COUNTIF($A$5:$A$104,A27)&gt;1,"DUPLICATE","OK"))</x:f>
      </x:c>
    </x:row>
    <x:row r="28">
      <x:c r="C28" s="100" t="str">
        <x:f>IF(A28="","",IF(COUNTIF($A$5:$A$104,A28)&gt;1,"DUPLICATE","OK"))</x:f>
      </x:c>
    </x:row>
    <x:row r="29">
      <x:c r="C29" s="100" t="str">
        <x:f>IF(A29="","",IF(COUNTIF($A$5:$A$104,A29)&gt;1,"DUPLICATE","OK"))</x:f>
      </x:c>
    </x:row>
    <x:row r="30">
      <x:c r="C30" s="100" t="str">
        <x:f>IF(A30="","",IF(COUNTIF($A$5:$A$104,A30)&gt;1,"DUPLICATE","OK"))</x:f>
      </x:c>
    </x:row>
    <x:row r="31">
      <x:c r="C31" s="100" t="str">
        <x:f>IF(A31="","",IF(COUNTIF($A$5:$A$104,A31)&gt;1,"DUPLICATE","OK"))</x:f>
      </x:c>
    </x:row>
    <x:row r="32">
      <x:c r="C32" s="100" t="str">
        <x:f>IF(A32="","",IF(COUNTIF($A$5:$A$104,A32)&gt;1,"DUPLICATE","OK"))</x:f>
      </x:c>
    </x:row>
    <x:row r="33">
      <x:c r="C33" s="100" t="str">
        <x:f>IF(A33="","",IF(COUNTIF($A$5:$A$104,A33)&gt;1,"DUPLICATE","OK"))</x:f>
      </x:c>
    </x:row>
    <x:row r="34">
      <x:c r="C34" s="100" t="str">
        <x:f>IF(A34="","",IF(COUNTIF($A$5:$A$104,A34)&gt;1,"DUPLICATE","OK"))</x:f>
      </x:c>
    </x:row>
    <x:row r="35">
      <x:c r="C35" s="100" t="str">
        <x:f>IF(A35="","",IF(COUNTIF($A$5:$A$104,A35)&gt;1,"DUPLICATE","OK"))</x:f>
      </x:c>
    </x:row>
    <x:row r="36">
      <x:c r="C36" s="100" t="str">
        <x:f>IF(A36="","",IF(COUNTIF($A$5:$A$104,A36)&gt;1,"DUPLICATE","OK"))</x:f>
      </x:c>
    </x:row>
    <x:row r="37">
      <x:c r="C37" s="100" t="str">
        <x:f>IF(A37="","",IF(COUNTIF($A$5:$A$104,A37)&gt;1,"DUPLICATE","OK"))</x:f>
      </x:c>
    </x:row>
    <x:row r="38">
      <x:c r="C38" s="100" t="str">
        <x:f>IF(A38="","",IF(COUNTIF($A$5:$A$104,A38)&gt;1,"DUPLICATE","OK"))</x:f>
      </x:c>
    </x:row>
    <x:row r="39">
      <x:c r="C39" s="100" t="str">
        <x:f>IF(A39="","",IF(COUNTIF($A$5:$A$104,A39)&gt;1,"DUPLICATE","OK"))</x:f>
      </x:c>
    </x:row>
    <x:row r="40">
      <x:c r="C40" s="100" t="str">
        <x:f>IF(A40="","",IF(COUNTIF($A$5:$A$104,A40)&gt;1,"DUPLICATE","OK"))</x:f>
      </x:c>
    </x:row>
    <x:row r="41">
      <x:c r="C41" s="100" t="str">
        <x:f>IF(A41="","",IF(COUNTIF($A$5:$A$104,A41)&gt;1,"DUPLICATE","OK"))</x:f>
      </x:c>
    </x:row>
    <x:row r="42">
      <x:c r="C42" s="100" t="str">
        <x:f>IF(A42="","",IF(COUNTIF($A$5:$A$104,A42)&gt;1,"DUPLICATE","OK"))</x:f>
      </x:c>
    </x:row>
    <x:row r="43">
      <x:c r="C43" s="100" t="str">
        <x:f>IF(A43="","",IF(COUNTIF($A$5:$A$104,A43)&gt;1,"DUPLICATE","OK"))</x:f>
      </x:c>
    </x:row>
    <x:row r="44">
      <x:c r="C44" s="100" t="str">
        <x:f>IF(A44="","",IF(COUNTIF($A$5:$A$104,A44)&gt;1,"DUPLICATE","OK"))</x:f>
      </x:c>
    </x:row>
    <x:row r="45">
      <x:c r="C45" s="100" t="str">
        <x:f>IF(A45="","",IF(COUNTIF($A$5:$A$104,A45)&gt;1,"DUPLICATE","OK"))</x:f>
      </x:c>
    </x:row>
    <x:row r="46">
      <x:c r="C46" s="100" t="str">
        <x:f>IF(A46="","",IF(COUNTIF($A$5:$A$104,A46)&gt;1,"DUPLICATE","OK"))</x:f>
      </x:c>
    </x:row>
    <x:row r="47">
      <x:c r="C47" s="100" t="str">
        <x:f>IF(A47="","",IF(COUNTIF($A$5:$A$104,A47)&gt;1,"DUPLICATE","OK"))</x:f>
      </x:c>
    </x:row>
    <x:row r="48">
      <x:c r="C48" s="100" t="str">
        <x:f>IF(A48="","",IF(COUNTIF($A$5:$A$104,A48)&gt;1,"DUPLICATE","OK"))</x:f>
      </x:c>
    </x:row>
    <x:row r="49">
      <x:c r="C49" s="100" t="str">
        <x:f>IF(A49="","",IF(COUNTIF($A$5:$A$104,A49)&gt;1,"DUPLICATE","OK"))</x:f>
      </x:c>
    </x:row>
    <x:row r="50">
      <x:c r="C50" s="100" t="str">
        <x:f>IF(A50="","",IF(COUNTIF($A$5:$A$104,A50)&gt;1,"DUPLICATE","OK"))</x:f>
      </x:c>
    </x:row>
    <x:row r="51">
      <x:c r="C51" s="100" t="str">
        <x:f>IF(A51="","",IF(COUNTIF($A$5:$A$104,A51)&gt;1,"DUPLICATE","OK"))</x:f>
      </x:c>
    </x:row>
    <x:row r="52">
      <x:c r="C52" s="100" t="str">
        <x:f>IF(A52="","",IF(COUNTIF($A$5:$A$104,A52)&gt;1,"DUPLICATE","OK"))</x:f>
      </x:c>
    </x:row>
    <x:row r="53">
      <x:c r="C53" s="100" t="str">
        <x:f>IF(A53="","",IF(COUNTIF($A$5:$A$104,A53)&gt;1,"DUPLICATE","OK"))</x:f>
      </x:c>
    </x:row>
    <x:row r="54">
      <x:c r="C54" s="100" t="str">
        <x:f>IF(A54="","",IF(COUNTIF($A$5:$A$104,A54)&gt;1,"DUPLICATE","OK"))</x:f>
      </x:c>
    </x:row>
    <x:row r="55">
      <x:c r="C55" s="100" t="str">
        <x:f>IF(A55="","",IF(COUNTIF($A$5:$A$104,A55)&gt;1,"DUPLICATE","OK"))</x:f>
      </x:c>
    </x:row>
    <x:row r="56">
      <x:c r="C56" s="100" t="str">
        <x:f>IF(A56="","",IF(COUNTIF($A$5:$A$104,A56)&gt;1,"DUPLICATE","OK"))</x:f>
      </x:c>
    </x:row>
    <x:row r="57">
      <x:c r="C57" s="100" t="str">
        <x:f>IF(A57="","",IF(COUNTIF($A$5:$A$104,A57)&gt;1,"DUPLICATE","OK"))</x:f>
      </x:c>
    </x:row>
    <x:row r="58">
      <x:c r="C58" s="100" t="str">
        <x:f>IF(A58="","",IF(COUNTIF($A$5:$A$104,A58)&gt;1,"DUPLICATE","OK"))</x:f>
      </x:c>
    </x:row>
    <x:row r="59">
      <x:c r="C59" s="100" t="str">
        <x:f>IF(A59="","",IF(COUNTIF($A$5:$A$104,A59)&gt;1,"DUPLICATE","OK"))</x:f>
      </x:c>
    </x:row>
    <x:row r="60">
      <x:c r="C60" s="100" t="str">
        <x:f>IF(A60="","",IF(COUNTIF($A$5:$A$104,A60)&gt;1,"DUPLICATE","OK"))</x:f>
      </x:c>
    </x:row>
    <x:row r="61">
      <x:c r="C61" s="100" t="str">
        <x:f>IF(A61="","",IF(COUNTIF($A$5:$A$104,A61)&gt;1,"DUPLICATE","OK"))</x:f>
      </x:c>
    </x:row>
    <x:row r="62">
      <x:c r="C62" s="100" t="str">
        <x:f>IF(A62="","",IF(COUNTIF($A$5:$A$104,A62)&gt;1,"DUPLICATE","OK"))</x:f>
      </x:c>
    </x:row>
    <x:row r="63">
      <x:c r="C63" s="100" t="str">
        <x:f>IF(A63="","",IF(COUNTIF($A$5:$A$104,A63)&gt;1,"DUPLICATE","OK"))</x:f>
      </x:c>
    </x:row>
    <x:row r="64">
      <x:c r="C64" s="100" t="str">
        <x:f>IF(A64="","",IF(COUNTIF($A$5:$A$104,A64)&gt;1,"DUPLICATE","OK"))</x:f>
      </x:c>
    </x:row>
    <x:row r="65">
      <x:c r="C65" s="100" t="str">
        <x:f>IF(A65="","",IF(COUNTIF($A$5:$A$104,A65)&gt;1,"DUPLICATE","OK"))</x:f>
      </x:c>
    </x:row>
    <x:row r="66">
      <x:c r="C66" s="100" t="str">
        <x:f>IF(A66="","",IF(COUNTIF($A$5:$A$104,A66)&gt;1,"DUPLICATE","OK"))</x:f>
      </x:c>
    </x:row>
    <x:row r="67">
      <x:c r="C67" s="100" t="str">
        <x:f>IF(A67="","",IF(COUNTIF($A$5:$A$104,A67)&gt;1,"DUPLICATE","OK"))</x:f>
      </x:c>
    </x:row>
    <x:row r="68">
      <x:c r="C68" s="100" t="str">
        <x:f>IF(A68="","",IF(COUNTIF($A$5:$A$104,A68)&gt;1,"DUPLICATE","OK"))</x:f>
      </x:c>
    </x:row>
    <x:row r="69">
      <x:c r="C69" s="100" t="str">
        <x:f>IF(A69="","",IF(COUNTIF($A$5:$A$104,A69)&gt;1,"DUPLICATE","OK"))</x:f>
      </x:c>
    </x:row>
    <x:row r="70">
      <x:c r="C70" s="100" t="str">
        <x:f>IF(A70="","",IF(COUNTIF($A$5:$A$104,A70)&gt;1,"DUPLICATE","OK"))</x:f>
      </x:c>
    </x:row>
    <x:row r="71">
      <x:c r="C71" s="100" t="str">
        <x:f>IF(A71="","",IF(COUNTIF($A$5:$A$104,A71)&gt;1,"DUPLICATE","OK"))</x:f>
      </x:c>
    </x:row>
    <x:row r="72">
      <x:c r="C72" s="100" t="str">
        <x:f>IF(A72="","",IF(COUNTIF($A$5:$A$104,A72)&gt;1,"DUPLICATE","OK"))</x:f>
      </x:c>
    </x:row>
    <x:row r="73">
      <x:c r="C73" s="100" t="str">
        <x:f>IF(A73="","",IF(COUNTIF($A$5:$A$104,A73)&gt;1,"DUPLICATE","OK"))</x:f>
      </x:c>
    </x:row>
    <x:row r="74">
      <x:c r="C74" s="100" t="str">
        <x:f>IF(A74="","",IF(COUNTIF($A$5:$A$104,A74)&gt;1,"DUPLICATE","OK"))</x:f>
      </x:c>
    </x:row>
    <x:row r="75">
      <x:c r="C75" s="100" t="str">
        <x:f>IF(A75="","",IF(COUNTIF($A$5:$A$104,A75)&gt;1,"DUPLICATE","OK"))</x:f>
      </x:c>
    </x:row>
    <x:row r="76">
      <x:c r="C76" s="100" t="str">
        <x:f>IF(A76="","",IF(COUNTIF($A$5:$A$104,A76)&gt;1,"DUPLICATE","OK"))</x:f>
      </x:c>
    </x:row>
    <x:row r="77">
      <x:c r="C77" s="100" t="str">
        <x:f>IF(A77="","",IF(COUNTIF($A$5:$A$104,A77)&gt;1,"DUPLICATE","OK"))</x:f>
      </x:c>
    </x:row>
    <x:row r="78">
      <x:c r="C78" s="100" t="str">
        <x:f>IF(A78="","",IF(COUNTIF($A$5:$A$104,A78)&gt;1,"DUPLICATE","OK"))</x:f>
      </x:c>
    </x:row>
    <x:row r="79">
      <x:c r="C79" s="100" t="str">
        <x:f>IF(A79="","",IF(COUNTIF($A$5:$A$104,A79)&gt;1,"DUPLICATE","OK"))</x:f>
      </x:c>
    </x:row>
    <x:row r="80">
      <x:c r="C80" s="100" t="str">
        <x:f>IF(A80="","",IF(COUNTIF($A$5:$A$104,A80)&gt;1,"DUPLICATE","OK"))</x:f>
      </x:c>
    </x:row>
    <x:row r="81">
      <x:c r="C81" s="100" t="str">
        <x:f>IF(A81="","",IF(COUNTIF($A$5:$A$104,A81)&gt;1,"DUPLICATE","OK"))</x:f>
      </x:c>
    </x:row>
    <x:row r="82">
      <x:c r="C82" s="100" t="str">
        <x:f>IF(A82="","",IF(COUNTIF($A$5:$A$104,A82)&gt;1,"DUPLICATE","OK"))</x:f>
      </x:c>
    </x:row>
    <x:row r="83">
      <x:c r="C83" s="100" t="str">
        <x:f>IF(A83="","",IF(COUNTIF($A$5:$A$104,A83)&gt;1,"DUPLICATE","OK"))</x:f>
      </x:c>
    </x:row>
    <x:row r="84">
      <x:c r="C84" s="100" t="str">
        <x:f>IF(A84="","",IF(COUNTIF($A$5:$A$104,A84)&gt;1,"DUPLICATE","OK"))</x:f>
      </x:c>
    </x:row>
    <x:row r="85">
      <x:c r="C85" s="100" t="str">
        <x:f>IF(A85="","",IF(COUNTIF($A$5:$A$104,A85)&gt;1,"DUPLICATE","OK"))</x:f>
      </x:c>
    </x:row>
    <x:row r="86">
      <x:c r="C86" s="100" t="str">
        <x:f>IF(A86="","",IF(COUNTIF($A$5:$A$104,A86)&gt;1,"DUPLICATE","OK"))</x:f>
      </x:c>
    </x:row>
    <x:row r="87">
      <x:c r="C87" s="100" t="str">
        <x:f>IF(A87="","",IF(COUNTIF($A$5:$A$104,A87)&gt;1,"DUPLICATE","OK"))</x:f>
      </x:c>
    </x:row>
    <x:row r="88">
      <x:c r="C88" s="100" t="str">
        <x:f>IF(A88="","",IF(COUNTIF($A$5:$A$104,A88)&gt;1,"DUPLICATE","OK"))</x:f>
      </x:c>
    </x:row>
    <x:row r="89">
      <x:c r="C89" s="100" t="str">
        <x:f>IF(A89="","",IF(COUNTIF($A$5:$A$104,A89)&gt;1,"DUPLICATE","OK"))</x:f>
      </x:c>
    </x:row>
    <x:row r="90">
      <x:c r="C90" s="100" t="str">
        <x:f>IF(A90="","",IF(COUNTIF($A$5:$A$104,A90)&gt;1,"DUPLICATE","OK"))</x:f>
      </x:c>
    </x:row>
    <x:row r="91">
      <x:c r="C91" s="100" t="str">
        <x:f>IF(A91="","",IF(COUNTIF($A$5:$A$104,A91)&gt;1,"DUPLICATE","OK"))</x:f>
      </x:c>
    </x:row>
    <x:row r="92">
      <x:c r="C92" s="100" t="str">
        <x:f>IF(A92="","",IF(COUNTIF($A$5:$A$104,A92)&gt;1,"DUPLICATE","OK"))</x:f>
      </x:c>
    </x:row>
    <x:row r="93">
      <x:c r="C93" s="100" t="str">
        <x:f>IF(A93="","",IF(COUNTIF($A$5:$A$104,A93)&gt;1,"DUPLICATE","OK"))</x:f>
      </x:c>
    </x:row>
    <x:row r="94">
      <x:c r="C94" s="100" t="str">
        <x:f>IF(A94="","",IF(COUNTIF($A$5:$A$104,A94)&gt;1,"DUPLICATE","OK"))</x:f>
      </x:c>
    </x:row>
    <x:row r="95">
      <x:c r="C95" s="100" t="str">
        <x:f>IF(A95="","",IF(COUNTIF($A$5:$A$104,A95)&gt;1,"DUPLICATE","OK"))</x:f>
      </x:c>
    </x:row>
    <x:row r="96">
      <x:c r="C96" s="100" t="str">
        <x:f>IF(A96="","",IF(COUNTIF($A$5:$A$104,A96)&gt;1,"DUPLICATE","OK"))</x:f>
      </x:c>
    </x:row>
    <x:row r="97">
      <x:c r="C97" s="100" t="str">
        <x:f>IF(A97="","",IF(COUNTIF($A$5:$A$104,A97)&gt;1,"DUPLICATE","OK"))</x:f>
      </x:c>
    </x:row>
    <x:row r="98">
      <x:c r="C98" s="100" t="str">
        <x:f>IF(A98="","",IF(COUNTIF($A$5:$A$104,A98)&gt;1,"DUPLICATE","OK"))</x:f>
      </x:c>
    </x:row>
    <x:row r="99">
      <x:c r="C99" s="100" t="str">
        <x:f>IF(A99="","",IF(COUNTIF($A$5:$A$104,A99)&gt;1,"DUPLICATE","OK"))</x:f>
      </x:c>
    </x:row>
    <x:row r="100">
      <x:c r="C100" s="100" t="str">
        <x:f>IF(A100="","",IF(COUNTIF($A$5:$A$104,A100)&gt;1,"DUPLICATE","OK"))</x:f>
      </x:c>
    </x:row>
    <x:row r="101">
      <x:c r="C101" s="100" t="str">
        <x:f>IF(A101="","",IF(COUNTIF($A$5:$A$104,A101)&gt;1,"DUPLICATE","OK"))</x:f>
      </x:c>
    </x:row>
    <x:row r="102">
      <x:c r="C102" s="100" t="str">
        <x:f>IF(A102="","",IF(COUNTIF($A$5:$A$104,A102)&gt;1,"DUPLICATE","OK"))</x:f>
      </x:c>
    </x:row>
    <x:row r="103">
      <x:c r="C103" s="100" t="str">
        <x:f>IF(A103="","",IF(COUNTIF($A$5:$A$104,A103)&gt;1,"DUPLICATE","OK"))</x:f>
      </x:c>
    </x:row>
    <x:row r="104">
      <x:c r="C104" s="100" t="str">
        <x:f>IF(A104="","",IF(COUNTIF($A$5:$A$104,A104)&gt;1,"DUPLICATE","OK"))</x:f>
      </x:c>
    </x:row>
  </x:sheetData>
  <x:mergeCells>
    <x:mergeCell ref="A1:C1"/>
    <x:mergeCell ref="A2:C2"/>
  </x:mergeCells>
  <x:conditionalFormatting sqref="C5:C104">
    <x:cfRule type="expression" dxfId="2" priority="1">
      <x:formula>AND($C5&lt;&gt;"",$C5&lt;&gt;"OK")</x:formula>
    </x:cfRule>
    <x:cfRule type="expression" dxfId="3" priority="2">
      <x:formula>$C5="OK"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2" hidden="0" customWidth="1"/>
    <x:col min="4" max="4" width="18" hidden="0" customWidth="1"/>
    <x:col min="5" max="5" width="28" hidden="0" customWidth="1"/>
    <x:col min="6" max="6" width="36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  <x:col min="11" max="11" width="36" hidden="0" customWidth="1"/>
    <x:col min="12" max="12" width="18" hidden="0" customWidth="1"/>
    <x:col min="13" max="13" width="20" hidden="0" customWidth="1"/>
    <x:col min="14" max="14" width="20" hidden="0" customWidth="1"/>
  </x:cols>
  <x:sheetData>
    <x:row r="1" ht="28" customHeight="1">
      <x:c r="A1" s="4" t="str">
        <x:v>Clients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9" t="str">
        <x:v>Complete clients first. Client Services and Schedule both link back to this list.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>
      <x:c r="A4" s="94" t="str">
        <x:v>Client Name</x:v>
      </x:c>
      <x:c r="B4" s="94" t="str">
        <x:v>Status</x:v>
      </x:c>
      <x:c r="C4" s="94" t="str">
        <x:v>Contact Name</x:v>
      </x:c>
      <x:c r="D4" s="94" t="str">
        <x:v>Phone</x:v>
      </x:c>
      <x:c r="E4" s="94" t="str">
        <x:v>Email</x:v>
      </x:c>
      <x:c r="F4" s="94" t="str">
        <x:v>Address</x:v>
      </x:c>
      <x:c r="G4" s="94" t="str">
        <x:v>Suburb</x:v>
      </x:c>
      <x:c r="H4" s="94" t="str">
        <x:v>Visit Frequency</x:v>
      </x:c>
      <x:c r="I4" s="94" t="str">
        <x:v>Preferred Day</x:v>
      </x:c>
      <x:c r="J4" s="94" t="str">
        <x:v>Team</x:v>
      </x:c>
      <x:c r="K4" s="94" t="str">
        <x:v>Notes</x:v>
      </x:c>
      <x:c r="L4" s="94" t="str">
        <x:v>Services</x:v>
      </x:c>
      <x:c r="M4" s="94" t="str">
        <x:v>Schedule</x:v>
      </x:c>
      <x:c r="N4" s="94" t="str">
        <x:v>Check</x:v>
      </x:c>
    </x:row>
    <x:row r="5">
      <x:c r="L5" s="100" t="str">
        <x:f>IF(A5="","",IF(B5&lt;&gt;"Active","NOT REQUIRED",IF(COUNTIF('Client Services'!$A$5:$A$1004,A5)=0,"ADD SERVICES","OK")))</x:f>
      </x:c>
      <x:c r="M5" s="100" t="str">
        <x:f>IF(A5="","",IF(B5&lt;&gt;"Active","NOT REQUIRED",IF(COUNTIF(Schedule!$C$5:$C$1204,A5)=0,"UNSCHEDULED",IF(H5="Custom","OK",IF(COUNTIF(Schedule!$C$5:$C$1204,A5)=IF(H5="Weekly",4,IF(H5="Fortnightly",2,1)),"OK","CHECK VISITS")))))</x:f>
      </x:c>
      <x:c r="N5" s="100" t="str">
        <x:f>IF(A5="","",IF(COUNTIF($A$5:$A$404,A5)&gt;1,"DUPLICATE CLIENT",IF(B5="Active",IF(OR(F5="",G5="",H5="",J5=""),"COMPLETE CLIENT",IF(COUNTIF(Teams!$A$5:$A$104,J5)=0,"TEAM NOT FOUND","OK")),"OK")))</x:f>
      </x:c>
    </x:row>
    <x:row r="6">
      <x:c r="L6" s="100" t="str">
        <x:f>IF(A6="","",IF(B6&lt;&gt;"Active","NOT REQUIRED",IF(COUNTIF('Client Services'!$A$5:$A$1004,A6)=0,"ADD SERVICES","OK")))</x:f>
      </x:c>
      <x:c r="M6" s="100" t="str">
        <x:f>IF(A6="","",IF(B6&lt;&gt;"Active","NOT REQUIRED",IF(COUNTIF(Schedule!$C$5:$C$1204,A6)=0,"UNSCHEDULED",IF(H6="Custom","OK",IF(COUNTIF(Schedule!$C$5:$C$1204,A6)=IF(H6="Weekly",4,IF(H6="Fortnightly",2,1)),"OK","CHECK VISITS")))))</x:f>
      </x:c>
      <x:c r="N6" s="100" t="str">
        <x:f>IF(A6="","",IF(COUNTIF($A$5:$A$404,A6)&gt;1,"DUPLICATE CLIENT",IF(B6="Active",IF(OR(F6="",G6="",H6="",J6=""),"COMPLETE CLIENT",IF(COUNTIF(Teams!$A$5:$A$104,J6)=0,"TEAM NOT FOUND","OK")),"OK")))</x:f>
      </x:c>
    </x:row>
    <x:row r="7">
      <x:c r="L7" s="100" t="str">
        <x:f>IF(A7="","",IF(B7&lt;&gt;"Active","NOT REQUIRED",IF(COUNTIF('Client Services'!$A$5:$A$1004,A7)=0,"ADD SERVICES","OK")))</x:f>
      </x:c>
      <x:c r="M7" s="100" t="str">
        <x:f>IF(A7="","",IF(B7&lt;&gt;"Active","NOT REQUIRED",IF(COUNTIF(Schedule!$C$5:$C$1204,A7)=0,"UNSCHEDULED",IF(H7="Custom","OK",IF(COUNTIF(Schedule!$C$5:$C$1204,A7)=IF(H7="Weekly",4,IF(H7="Fortnightly",2,1)),"OK","CHECK VISITS")))))</x:f>
      </x:c>
      <x:c r="N7" s="100" t="str">
        <x:f>IF(A7="","",IF(COUNTIF($A$5:$A$404,A7)&gt;1,"DUPLICATE CLIENT",IF(B7="Active",IF(OR(F7="",G7="",H7="",J7=""),"COMPLETE CLIENT",IF(COUNTIF(Teams!$A$5:$A$104,J7)=0,"TEAM NOT FOUND","OK")),"OK")))</x:f>
      </x:c>
    </x:row>
    <x:row r="8">
      <x:c r="L8" s="100" t="str">
        <x:f>IF(A8="","",IF(B8&lt;&gt;"Active","NOT REQUIRED",IF(COUNTIF('Client Services'!$A$5:$A$1004,A8)=0,"ADD SERVICES","OK")))</x:f>
      </x:c>
      <x:c r="M8" s="100" t="str">
        <x:f>IF(A8="","",IF(B8&lt;&gt;"Active","NOT REQUIRED",IF(COUNTIF(Schedule!$C$5:$C$1204,A8)=0,"UNSCHEDULED",IF(H8="Custom","OK",IF(COUNTIF(Schedule!$C$5:$C$1204,A8)=IF(H8="Weekly",4,IF(H8="Fortnightly",2,1)),"OK","CHECK VISITS")))))</x:f>
      </x:c>
      <x:c r="N8" s="100" t="str">
        <x:f>IF(A8="","",IF(COUNTIF($A$5:$A$404,A8)&gt;1,"DUPLICATE CLIENT",IF(B8="Active",IF(OR(F8="",G8="",H8="",J8=""),"COMPLETE CLIENT",IF(COUNTIF(Teams!$A$5:$A$104,J8)=0,"TEAM NOT FOUND","OK")),"OK")))</x:f>
      </x:c>
    </x:row>
    <x:row r="9">
      <x:c r="L9" s="100" t="str">
        <x:f>IF(A9="","",IF(B9&lt;&gt;"Active","NOT REQUIRED",IF(COUNTIF('Client Services'!$A$5:$A$1004,A9)=0,"ADD SERVICES","OK")))</x:f>
      </x:c>
      <x:c r="M9" s="100" t="str">
        <x:f>IF(A9="","",IF(B9&lt;&gt;"Active","NOT REQUIRED",IF(COUNTIF(Schedule!$C$5:$C$1204,A9)=0,"UNSCHEDULED",IF(H9="Custom","OK",IF(COUNTIF(Schedule!$C$5:$C$1204,A9)=IF(H9="Weekly",4,IF(H9="Fortnightly",2,1)),"OK","CHECK VISITS")))))</x:f>
      </x:c>
      <x:c r="N9" s="100" t="str">
        <x:f>IF(A9="","",IF(COUNTIF($A$5:$A$404,A9)&gt;1,"DUPLICATE CLIENT",IF(B9="Active",IF(OR(F9="",G9="",H9="",J9=""),"COMPLETE CLIENT",IF(COUNTIF(Teams!$A$5:$A$104,J9)=0,"TEAM NOT FOUND","OK")),"OK")))</x:f>
      </x:c>
    </x:row>
    <x:row r="10">
      <x:c r="L10" s="100" t="str">
        <x:f>IF(A10="","",IF(B10&lt;&gt;"Active","NOT REQUIRED",IF(COUNTIF('Client Services'!$A$5:$A$1004,A10)=0,"ADD SERVICES","OK")))</x:f>
      </x:c>
      <x:c r="M10" s="100" t="str">
        <x:f>IF(A10="","",IF(B10&lt;&gt;"Active","NOT REQUIRED",IF(COUNTIF(Schedule!$C$5:$C$1204,A10)=0,"UNSCHEDULED",IF(H10="Custom","OK",IF(COUNTIF(Schedule!$C$5:$C$1204,A10)=IF(H10="Weekly",4,IF(H10="Fortnightly",2,1)),"OK","CHECK VISITS")))))</x:f>
      </x:c>
      <x:c r="N10" s="100" t="str">
        <x:f>IF(A10="","",IF(COUNTIF($A$5:$A$404,A10)&gt;1,"DUPLICATE CLIENT",IF(B10="Active",IF(OR(F10="",G10="",H10="",J10=""),"COMPLETE CLIENT",IF(COUNTIF(Teams!$A$5:$A$104,J10)=0,"TEAM NOT FOUND","OK")),"OK")))</x:f>
      </x:c>
    </x:row>
    <x:row r="11">
      <x:c r="L11" s="100" t="str">
        <x:f>IF(A11="","",IF(B11&lt;&gt;"Active","NOT REQUIRED",IF(COUNTIF('Client Services'!$A$5:$A$1004,A11)=0,"ADD SERVICES","OK")))</x:f>
      </x:c>
      <x:c r="M11" s="100" t="str">
        <x:f>IF(A11="","",IF(B11&lt;&gt;"Active","NOT REQUIRED",IF(COUNTIF(Schedule!$C$5:$C$1204,A11)=0,"UNSCHEDULED",IF(H11="Custom","OK",IF(COUNTIF(Schedule!$C$5:$C$1204,A11)=IF(H11="Weekly",4,IF(H11="Fortnightly",2,1)),"OK","CHECK VISITS")))))</x:f>
      </x:c>
      <x:c r="N11" s="100" t="str">
        <x:f>IF(A11="","",IF(COUNTIF($A$5:$A$404,A11)&gt;1,"DUPLICATE CLIENT",IF(B11="Active",IF(OR(F11="",G11="",H11="",J11=""),"COMPLETE CLIENT",IF(COUNTIF(Teams!$A$5:$A$104,J11)=0,"TEAM NOT FOUND","OK")),"OK")))</x:f>
      </x:c>
    </x:row>
    <x:row r="12">
      <x:c r="L12" s="100" t="str">
        <x:f>IF(A12="","",IF(B12&lt;&gt;"Active","NOT REQUIRED",IF(COUNTIF('Client Services'!$A$5:$A$1004,A12)=0,"ADD SERVICES","OK")))</x:f>
      </x:c>
      <x:c r="M12" s="100" t="str">
        <x:f>IF(A12="","",IF(B12&lt;&gt;"Active","NOT REQUIRED",IF(COUNTIF(Schedule!$C$5:$C$1204,A12)=0,"UNSCHEDULED",IF(H12="Custom","OK",IF(COUNTIF(Schedule!$C$5:$C$1204,A12)=IF(H12="Weekly",4,IF(H12="Fortnightly",2,1)),"OK","CHECK VISITS")))))</x:f>
      </x:c>
      <x:c r="N12" s="100" t="str">
        <x:f>IF(A12="","",IF(COUNTIF($A$5:$A$404,A12)&gt;1,"DUPLICATE CLIENT",IF(B12="Active",IF(OR(F12="",G12="",H12="",J12=""),"COMPLETE CLIENT",IF(COUNTIF(Teams!$A$5:$A$104,J12)=0,"TEAM NOT FOUND","OK")),"OK")))</x:f>
      </x:c>
    </x:row>
    <x:row r="13">
      <x:c r="L13" s="100" t="str">
        <x:f>IF(A13="","",IF(B13&lt;&gt;"Active","NOT REQUIRED",IF(COUNTIF('Client Services'!$A$5:$A$1004,A13)=0,"ADD SERVICES","OK")))</x:f>
      </x:c>
      <x:c r="M13" s="100" t="str">
        <x:f>IF(A13="","",IF(B13&lt;&gt;"Active","NOT REQUIRED",IF(COUNTIF(Schedule!$C$5:$C$1204,A13)=0,"UNSCHEDULED",IF(H13="Custom","OK",IF(COUNTIF(Schedule!$C$5:$C$1204,A13)=IF(H13="Weekly",4,IF(H13="Fortnightly",2,1)),"OK","CHECK VISITS")))))</x:f>
      </x:c>
      <x:c r="N13" s="100" t="str">
        <x:f>IF(A13="","",IF(COUNTIF($A$5:$A$404,A13)&gt;1,"DUPLICATE CLIENT",IF(B13="Active",IF(OR(F13="",G13="",H13="",J13=""),"COMPLETE CLIENT",IF(COUNTIF(Teams!$A$5:$A$104,J13)=0,"TEAM NOT FOUND","OK")),"OK")))</x:f>
      </x:c>
    </x:row>
    <x:row r="14">
      <x:c r="L14" s="100" t="str">
        <x:f>IF(A14="","",IF(B14&lt;&gt;"Active","NOT REQUIRED",IF(COUNTIF('Client Services'!$A$5:$A$1004,A14)=0,"ADD SERVICES","OK")))</x:f>
      </x:c>
      <x:c r="M14" s="100" t="str">
        <x:f>IF(A14="","",IF(B14&lt;&gt;"Active","NOT REQUIRED",IF(COUNTIF(Schedule!$C$5:$C$1204,A14)=0,"UNSCHEDULED",IF(H14="Custom","OK",IF(COUNTIF(Schedule!$C$5:$C$1204,A14)=IF(H14="Weekly",4,IF(H14="Fortnightly",2,1)),"OK","CHECK VISITS")))))</x:f>
      </x:c>
      <x:c r="N14" s="100" t="str">
        <x:f>IF(A14="","",IF(COUNTIF($A$5:$A$404,A14)&gt;1,"DUPLICATE CLIENT",IF(B14="Active",IF(OR(F14="",G14="",H14="",J14=""),"COMPLETE CLIENT",IF(COUNTIF(Teams!$A$5:$A$104,J14)=0,"TEAM NOT FOUND","OK")),"OK")))</x:f>
      </x:c>
    </x:row>
    <x:row r="15">
      <x:c r="L15" s="100" t="str">
        <x:f>IF(A15="","",IF(B15&lt;&gt;"Active","NOT REQUIRED",IF(COUNTIF('Client Services'!$A$5:$A$1004,A15)=0,"ADD SERVICES","OK")))</x:f>
      </x:c>
      <x:c r="M15" s="100" t="str">
        <x:f>IF(A15="","",IF(B15&lt;&gt;"Active","NOT REQUIRED",IF(COUNTIF(Schedule!$C$5:$C$1204,A15)=0,"UNSCHEDULED",IF(H15="Custom","OK",IF(COUNTIF(Schedule!$C$5:$C$1204,A15)=IF(H15="Weekly",4,IF(H15="Fortnightly",2,1)),"OK","CHECK VISITS")))))</x:f>
      </x:c>
      <x:c r="N15" s="100" t="str">
        <x:f>IF(A15="","",IF(COUNTIF($A$5:$A$404,A15)&gt;1,"DUPLICATE CLIENT",IF(B15="Active",IF(OR(F15="",G15="",H15="",J15=""),"COMPLETE CLIENT",IF(COUNTIF(Teams!$A$5:$A$104,J15)=0,"TEAM NOT FOUND","OK")),"OK")))</x:f>
      </x:c>
    </x:row>
    <x:row r="16">
      <x:c r="L16" s="100" t="str">
        <x:f>IF(A16="","",IF(B16&lt;&gt;"Active","NOT REQUIRED",IF(COUNTIF('Client Services'!$A$5:$A$1004,A16)=0,"ADD SERVICES","OK")))</x:f>
      </x:c>
      <x:c r="M16" s="100" t="str">
        <x:f>IF(A16="","",IF(B16&lt;&gt;"Active","NOT REQUIRED",IF(COUNTIF(Schedule!$C$5:$C$1204,A16)=0,"UNSCHEDULED",IF(H16="Custom","OK",IF(COUNTIF(Schedule!$C$5:$C$1204,A16)=IF(H16="Weekly",4,IF(H16="Fortnightly",2,1)),"OK","CHECK VISITS")))))</x:f>
      </x:c>
      <x:c r="N16" s="100" t="str">
        <x:f>IF(A16="","",IF(COUNTIF($A$5:$A$404,A16)&gt;1,"DUPLICATE CLIENT",IF(B16="Active",IF(OR(F16="",G16="",H16="",J16=""),"COMPLETE CLIENT",IF(COUNTIF(Teams!$A$5:$A$104,J16)=0,"TEAM NOT FOUND","OK")),"OK")))</x:f>
      </x:c>
    </x:row>
    <x:row r="17">
      <x:c r="L17" s="100" t="str">
        <x:f>IF(A17="","",IF(B17&lt;&gt;"Active","NOT REQUIRED",IF(COUNTIF('Client Services'!$A$5:$A$1004,A17)=0,"ADD SERVICES","OK")))</x:f>
      </x:c>
      <x:c r="M17" s="100" t="str">
        <x:f>IF(A17="","",IF(B17&lt;&gt;"Active","NOT REQUIRED",IF(COUNTIF(Schedule!$C$5:$C$1204,A17)=0,"UNSCHEDULED",IF(H17="Custom","OK",IF(COUNTIF(Schedule!$C$5:$C$1204,A17)=IF(H17="Weekly",4,IF(H17="Fortnightly",2,1)),"OK","CHECK VISITS")))))</x:f>
      </x:c>
      <x:c r="N17" s="100" t="str">
        <x:f>IF(A17="","",IF(COUNTIF($A$5:$A$404,A17)&gt;1,"DUPLICATE CLIENT",IF(B17="Active",IF(OR(F17="",G17="",H17="",J17=""),"COMPLETE CLIENT",IF(COUNTIF(Teams!$A$5:$A$104,J17)=0,"TEAM NOT FOUND","OK")),"OK")))</x:f>
      </x:c>
    </x:row>
    <x:row r="18">
      <x:c r="L18" s="100" t="str">
        <x:f>IF(A18="","",IF(B18&lt;&gt;"Active","NOT REQUIRED",IF(COUNTIF('Client Services'!$A$5:$A$1004,A18)=0,"ADD SERVICES","OK")))</x:f>
      </x:c>
      <x:c r="M18" s="100" t="str">
        <x:f>IF(A18="","",IF(B18&lt;&gt;"Active","NOT REQUIRED",IF(COUNTIF(Schedule!$C$5:$C$1204,A18)=0,"UNSCHEDULED",IF(H18="Custom","OK",IF(COUNTIF(Schedule!$C$5:$C$1204,A18)=IF(H18="Weekly",4,IF(H18="Fortnightly",2,1)),"OK","CHECK VISITS")))))</x:f>
      </x:c>
      <x:c r="N18" s="100" t="str">
        <x:f>IF(A18="","",IF(COUNTIF($A$5:$A$404,A18)&gt;1,"DUPLICATE CLIENT",IF(B18="Active",IF(OR(F18="",G18="",H18="",J18=""),"COMPLETE CLIENT",IF(COUNTIF(Teams!$A$5:$A$104,J18)=0,"TEAM NOT FOUND","OK")),"OK")))</x:f>
      </x:c>
    </x:row>
    <x:row r="19">
      <x:c r="L19" s="100" t="str">
        <x:f>IF(A19="","",IF(B19&lt;&gt;"Active","NOT REQUIRED",IF(COUNTIF('Client Services'!$A$5:$A$1004,A19)=0,"ADD SERVICES","OK")))</x:f>
      </x:c>
      <x:c r="M19" s="100" t="str">
        <x:f>IF(A19="","",IF(B19&lt;&gt;"Active","NOT REQUIRED",IF(COUNTIF(Schedule!$C$5:$C$1204,A19)=0,"UNSCHEDULED",IF(H19="Custom","OK",IF(COUNTIF(Schedule!$C$5:$C$1204,A19)=IF(H19="Weekly",4,IF(H19="Fortnightly",2,1)),"OK","CHECK VISITS")))))</x:f>
      </x:c>
      <x:c r="N19" s="100" t="str">
        <x:f>IF(A19="","",IF(COUNTIF($A$5:$A$404,A19)&gt;1,"DUPLICATE CLIENT",IF(B19="Active",IF(OR(F19="",G19="",H19="",J19=""),"COMPLETE CLIENT",IF(COUNTIF(Teams!$A$5:$A$104,J19)=0,"TEAM NOT FOUND","OK")),"OK")))</x:f>
      </x:c>
    </x:row>
    <x:row r="20">
      <x:c r="L20" s="100" t="str">
        <x:f>IF(A20="","",IF(B20&lt;&gt;"Active","NOT REQUIRED",IF(COUNTIF('Client Services'!$A$5:$A$1004,A20)=0,"ADD SERVICES","OK")))</x:f>
      </x:c>
      <x:c r="M20" s="100" t="str">
        <x:f>IF(A20="","",IF(B20&lt;&gt;"Active","NOT REQUIRED",IF(COUNTIF(Schedule!$C$5:$C$1204,A20)=0,"UNSCHEDULED",IF(H20="Custom","OK",IF(COUNTIF(Schedule!$C$5:$C$1204,A20)=IF(H20="Weekly",4,IF(H20="Fortnightly",2,1)),"OK","CHECK VISITS")))))</x:f>
      </x:c>
      <x:c r="N20" s="100" t="str">
        <x:f>IF(A20="","",IF(COUNTIF($A$5:$A$404,A20)&gt;1,"DUPLICATE CLIENT",IF(B20="Active",IF(OR(F20="",G20="",H20="",J20=""),"COMPLETE CLIENT",IF(COUNTIF(Teams!$A$5:$A$104,J20)=0,"TEAM NOT FOUND","OK")),"OK")))</x:f>
      </x:c>
    </x:row>
    <x:row r="21">
      <x:c r="L21" s="100" t="str">
        <x:f>IF(A21="","",IF(B21&lt;&gt;"Active","NOT REQUIRED",IF(COUNTIF('Client Services'!$A$5:$A$1004,A21)=0,"ADD SERVICES","OK")))</x:f>
      </x:c>
      <x:c r="M21" s="100" t="str">
        <x:f>IF(A21="","",IF(B21&lt;&gt;"Active","NOT REQUIRED",IF(COUNTIF(Schedule!$C$5:$C$1204,A21)=0,"UNSCHEDULED",IF(H21="Custom","OK",IF(COUNTIF(Schedule!$C$5:$C$1204,A21)=IF(H21="Weekly",4,IF(H21="Fortnightly",2,1)),"OK","CHECK VISITS")))))</x:f>
      </x:c>
      <x:c r="N21" s="100" t="str">
        <x:f>IF(A21="","",IF(COUNTIF($A$5:$A$404,A21)&gt;1,"DUPLICATE CLIENT",IF(B21="Active",IF(OR(F21="",G21="",H21="",J21=""),"COMPLETE CLIENT",IF(COUNTIF(Teams!$A$5:$A$104,J21)=0,"TEAM NOT FOUND","OK")),"OK")))</x:f>
      </x:c>
    </x:row>
    <x:row r="22">
      <x:c r="L22" s="100" t="str">
        <x:f>IF(A22="","",IF(B22&lt;&gt;"Active","NOT REQUIRED",IF(COUNTIF('Client Services'!$A$5:$A$1004,A22)=0,"ADD SERVICES","OK")))</x:f>
      </x:c>
      <x:c r="M22" s="100" t="str">
        <x:f>IF(A22="","",IF(B22&lt;&gt;"Active","NOT REQUIRED",IF(COUNTIF(Schedule!$C$5:$C$1204,A22)=0,"UNSCHEDULED",IF(H22="Custom","OK",IF(COUNTIF(Schedule!$C$5:$C$1204,A22)=IF(H22="Weekly",4,IF(H22="Fortnightly",2,1)),"OK","CHECK VISITS")))))</x:f>
      </x:c>
      <x:c r="N22" s="100" t="str">
        <x:f>IF(A22="","",IF(COUNTIF($A$5:$A$404,A22)&gt;1,"DUPLICATE CLIENT",IF(B22="Active",IF(OR(F22="",G22="",H22="",J22=""),"COMPLETE CLIENT",IF(COUNTIF(Teams!$A$5:$A$104,J22)=0,"TEAM NOT FOUND","OK")),"OK")))</x:f>
      </x:c>
    </x:row>
    <x:row r="23">
      <x:c r="L23" s="100" t="str">
        <x:f>IF(A23="","",IF(B23&lt;&gt;"Active","NOT REQUIRED",IF(COUNTIF('Client Services'!$A$5:$A$1004,A23)=0,"ADD SERVICES","OK")))</x:f>
      </x:c>
      <x:c r="M23" s="100" t="str">
        <x:f>IF(A23="","",IF(B23&lt;&gt;"Active","NOT REQUIRED",IF(COUNTIF(Schedule!$C$5:$C$1204,A23)=0,"UNSCHEDULED",IF(H23="Custom","OK",IF(COUNTIF(Schedule!$C$5:$C$1204,A23)=IF(H23="Weekly",4,IF(H23="Fortnightly",2,1)),"OK","CHECK VISITS")))))</x:f>
      </x:c>
      <x:c r="N23" s="100" t="str">
        <x:f>IF(A23="","",IF(COUNTIF($A$5:$A$404,A23)&gt;1,"DUPLICATE CLIENT",IF(B23="Active",IF(OR(F23="",G23="",H23="",J23=""),"COMPLETE CLIENT",IF(COUNTIF(Teams!$A$5:$A$104,J23)=0,"TEAM NOT FOUND","OK")),"OK")))</x:f>
      </x:c>
    </x:row>
    <x:row r="24">
      <x:c r="L24" s="100" t="str">
        <x:f>IF(A24="","",IF(B24&lt;&gt;"Active","NOT REQUIRED",IF(COUNTIF('Client Services'!$A$5:$A$1004,A24)=0,"ADD SERVICES","OK")))</x:f>
      </x:c>
      <x:c r="M24" s="100" t="str">
        <x:f>IF(A24="","",IF(B24&lt;&gt;"Active","NOT REQUIRED",IF(COUNTIF(Schedule!$C$5:$C$1204,A24)=0,"UNSCHEDULED",IF(H24="Custom","OK",IF(COUNTIF(Schedule!$C$5:$C$1204,A24)=IF(H24="Weekly",4,IF(H24="Fortnightly",2,1)),"OK","CHECK VISITS")))))</x:f>
      </x:c>
      <x:c r="N24" s="100" t="str">
        <x:f>IF(A24="","",IF(COUNTIF($A$5:$A$404,A24)&gt;1,"DUPLICATE CLIENT",IF(B24="Active",IF(OR(F24="",G24="",H24="",J24=""),"COMPLETE CLIENT",IF(COUNTIF(Teams!$A$5:$A$104,J24)=0,"TEAM NOT FOUND","OK")),"OK")))</x:f>
      </x:c>
    </x:row>
    <x:row r="25">
      <x:c r="L25" s="100" t="str">
        <x:f>IF(A25="","",IF(B25&lt;&gt;"Active","NOT REQUIRED",IF(COUNTIF('Client Services'!$A$5:$A$1004,A25)=0,"ADD SERVICES","OK")))</x:f>
      </x:c>
      <x:c r="M25" s="100" t="str">
        <x:f>IF(A25="","",IF(B25&lt;&gt;"Active","NOT REQUIRED",IF(COUNTIF(Schedule!$C$5:$C$1204,A25)=0,"UNSCHEDULED",IF(H25="Custom","OK",IF(COUNTIF(Schedule!$C$5:$C$1204,A25)=IF(H25="Weekly",4,IF(H25="Fortnightly",2,1)),"OK","CHECK VISITS")))))</x:f>
      </x:c>
      <x:c r="N25" s="100" t="str">
        <x:f>IF(A25="","",IF(COUNTIF($A$5:$A$404,A25)&gt;1,"DUPLICATE CLIENT",IF(B25="Active",IF(OR(F25="",G25="",H25="",J25=""),"COMPLETE CLIENT",IF(COUNTIF(Teams!$A$5:$A$104,J25)=0,"TEAM NOT FOUND","OK")),"OK")))</x:f>
      </x:c>
    </x:row>
    <x:row r="26">
      <x:c r="L26" s="100" t="str">
        <x:f>IF(A26="","",IF(B26&lt;&gt;"Active","NOT REQUIRED",IF(COUNTIF('Client Services'!$A$5:$A$1004,A26)=0,"ADD SERVICES","OK")))</x:f>
      </x:c>
      <x:c r="M26" s="100" t="str">
        <x:f>IF(A26="","",IF(B26&lt;&gt;"Active","NOT REQUIRED",IF(COUNTIF(Schedule!$C$5:$C$1204,A26)=0,"UNSCHEDULED",IF(H26="Custom","OK",IF(COUNTIF(Schedule!$C$5:$C$1204,A26)=IF(H26="Weekly",4,IF(H26="Fortnightly",2,1)),"OK","CHECK VISITS")))))</x:f>
      </x:c>
      <x:c r="N26" s="100" t="str">
        <x:f>IF(A26="","",IF(COUNTIF($A$5:$A$404,A26)&gt;1,"DUPLICATE CLIENT",IF(B26="Active",IF(OR(F26="",G26="",H26="",J26=""),"COMPLETE CLIENT",IF(COUNTIF(Teams!$A$5:$A$104,J26)=0,"TEAM NOT FOUND","OK")),"OK")))</x:f>
      </x:c>
    </x:row>
    <x:row r="27">
      <x:c r="L27" s="100" t="str">
        <x:f>IF(A27="","",IF(B27&lt;&gt;"Active","NOT REQUIRED",IF(COUNTIF('Client Services'!$A$5:$A$1004,A27)=0,"ADD SERVICES","OK")))</x:f>
      </x:c>
      <x:c r="M27" s="100" t="str">
        <x:f>IF(A27="","",IF(B27&lt;&gt;"Active","NOT REQUIRED",IF(COUNTIF(Schedule!$C$5:$C$1204,A27)=0,"UNSCHEDULED",IF(H27="Custom","OK",IF(COUNTIF(Schedule!$C$5:$C$1204,A27)=IF(H27="Weekly",4,IF(H27="Fortnightly",2,1)),"OK","CHECK VISITS")))))</x:f>
      </x:c>
      <x:c r="N27" s="100" t="str">
        <x:f>IF(A27="","",IF(COUNTIF($A$5:$A$404,A27)&gt;1,"DUPLICATE CLIENT",IF(B27="Active",IF(OR(F27="",G27="",H27="",J27=""),"COMPLETE CLIENT",IF(COUNTIF(Teams!$A$5:$A$104,J27)=0,"TEAM NOT FOUND","OK")),"OK")))</x:f>
      </x:c>
    </x:row>
    <x:row r="28">
      <x:c r="L28" s="100" t="str">
        <x:f>IF(A28="","",IF(B28&lt;&gt;"Active","NOT REQUIRED",IF(COUNTIF('Client Services'!$A$5:$A$1004,A28)=0,"ADD SERVICES","OK")))</x:f>
      </x:c>
      <x:c r="M28" s="100" t="str">
        <x:f>IF(A28="","",IF(B28&lt;&gt;"Active","NOT REQUIRED",IF(COUNTIF(Schedule!$C$5:$C$1204,A28)=0,"UNSCHEDULED",IF(H28="Custom","OK",IF(COUNTIF(Schedule!$C$5:$C$1204,A28)=IF(H28="Weekly",4,IF(H28="Fortnightly",2,1)),"OK","CHECK VISITS")))))</x:f>
      </x:c>
      <x:c r="N28" s="100" t="str">
        <x:f>IF(A28="","",IF(COUNTIF($A$5:$A$404,A28)&gt;1,"DUPLICATE CLIENT",IF(B28="Active",IF(OR(F28="",G28="",H28="",J28=""),"COMPLETE CLIENT",IF(COUNTIF(Teams!$A$5:$A$104,J28)=0,"TEAM NOT FOUND","OK")),"OK")))</x:f>
      </x:c>
    </x:row>
    <x:row r="29">
      <x:c r="L29" s="100" t="str">
        <x:f>IF(A29="","",IF(B29&lt;&gt;"Active","NOT REQUIRED",IF(COUNTIF('Client Services'!$A$5:$A$1004,A29)=0,"ADD SERVICES","OK")))</x:f>
      </x:c>
      <x:c r="M29" s="100" t="str">
        <x:f>IF(A29="","",IF(B29&lt;&gt;"Active","NOT REQUIRED",IF(COUNTIF(Schedule!$C$5:$C$1204,A29)=0,"UNSCHEDULED",IF(H29="Custom","OK",IF(COUNTIF(Schedule!$C$5:$C$1204,A29)=IF(H29="Weekly",4,IF(H29="Fortnightly",2,1)),"OK","CHECK VISITS")))))</x:f>
      </x:c>
      <x:c r="N29" s="100" t="str">
        <x:f>IF(A29="","",IF(COUNTIF($A$5:$A$404,A29)&gt;1,"DUPLICATE CLIENT",IF(B29="Active",IF(OR(F29="",G29="",H29="",J29=""),"COMPLETE CLIENT",IF(COUNTIF(Teams!$A$5:$A$104,J29)=0,"TEAM NOT FOUND","OK")),"OK")))</x:f>
      </x:c>
    </x:row>
    <x:row r="30">
      <x:c r="L30" s="100" t="str">
        <x:f>IF(A30="","",IF(B30&lt;&gt;"Active","NOT REQUIRED",IF(COUNTIF('Client Services'!$A$5:$A$1004,A30)=0,"ADD SERVICES","OK")))</x:f>
      </x:c>
      <x:c r="M30" s="100" t="str">
        <x:f>IF(A30="","",IF(B30&lt;&gt;"Active","NOT REQUIRED",IF(COUNTIF(Schedule!$C$5:$C$1204,A30)=0,"UNSCHEDULED",IF(H30="Custom","OK",IF(COUNTIF(Schedule!$C$5:$C$1204,A30)=IF(H30="Weekly",4,IF(H30="Fortnightly",2,1)),"OK","CHECK VISITS")))))</x:f>
      </x:c>
      <x:c r="N30" s="100" t="str">
        <x:f>IF(A30="","",IF(COUNTIF($A$5:$A$404,A30)&gt;1,"DUPLICATE CLIENT",IF(B30="Active",IF(OR(F30="",G30="",H30="",J30=""),"COMPLETE CLIENT",IF(COUNTIF(Teams!$A$5:$A$104,J30)=0,"TEAM NOT FOUND","OK")),"OK")))</x:f>
      </x:c>
    </x:row>
    <x:row r="31">
      <x:c r="L31" s="100" t="str">
        <x:f>IF(A31="","",IF(B31&lt;&gt;"Active","NOT REQUIRED",IF(COUNTIF('Client Services'!$A$5:$A$1004,A31)=0,"ADD SERVICES","OK")))</x:f>
      </x:c>
      <x:c r="M31" s="100" t="str">
        <x:f>IF(A31="","",IF(B31&lt;&gt;"Active","NOT REQUIRED",IF(COUNTIF(Schedule!$C$5:$C$1204,A31)=0,"UNSCHEDULED",IF(H31="Custom","OK",IF(COUNTIF(Schedule!$C$5:$C$1204,A31)=IF(H31="Weekly",4,IF(H31="Fortnightly",2,1)),"OK","CHECK VISITS")))))</x:f>
      </x:c>
      <x:c r="N31" s="100" t="str">
        <x:f>IF(A31="","",IF(COUNTIF($A$5:$A$404,A31)&gt;1,"DUPLICATE CLIENT",IF(B31="Active",IF(OR(F31="",G31="",H31="",J31=""),"COMPLETE CLIENT",IF(COUNTIF(Teams!$A$5:$A$104,J31)=0,"TEAM NOT FOUND","OK")),"OK")))</x:f>
      </x:c>
    </x:row>
    <x:row r="32">
      <x:c r="L32" s="100" t="str">
        <x:f>IF(A32="","",IF(B32&lt;&gt;"Active","NOT REQUIRED",IF(COUNTIF('Client Services'!$A$5:$A$1004,A32)=0,"ADD SERVICES","OK")))</x:f>
      </x:c>
      <x:c r="M32" s="100" t="str">
        <x:f>IF(A32="","",IF(B32&lt;&gt;"Active","NOT REQUIRED",IF(COUNTIF(Schedule!$C$5:$C$1204,A32)=0,"UNSCHEDULED",IF(H32="Custom","OK",IF(COUNTIF(Schedule!$C$5:$C$1204,A32)=IF(H32="Weekly",4,IF(H32="Fortnightly",2,1)),"OK","CHECK VISITS")))))</x:f>
      </x:c>
      <x:c r="N32" s="100" t="str">
        <x:f>IF(A32="","",IF(COUNTIF($A$5:$A$404,A32)&gt;1,"DUPLICATE CLIENT",IF(B32="Active",IF(OR(F32="",G32="",H32="",J32=""),"COMPLETE CLIENT",IF(COUNTIF(Teams!$A$5:$A$104,J32)=0,"TEAM NOT FOUND","OK")),"OK")))</x:f>
      </x:c>
    </x:row>
    <x:row r="33">
      <x:c r="L33" s="100" t="str">
        <x:f>IF(A33="","",IF(B33&lt;&gt;"Active","NOT REQUIRED",IF(COUNTIF('Client Services'!$A$5:$A$1004,A33)=0,"ADD SERVICES","OK")))</x:f>
      </x:c>
      <x:c r="M33" s="100" t="str">
        <x:f>IF(A33="","",IF(B33&lt;&gt;"Active","NOT REQUIRED",IF(COUNTIF(Schedule!$C$5:$C$1204,A33)=0,"UNSCHEDULED",IF(H33="Custom","OK",IF(COUNTIF(Schedule!$C$5:$C$1204,A33)=IF(H33="Weekly",4,IF(H33="Fortnightly",2,1)),"OK","CHECK VISITS")))))</x:f>
      </x:c>
      <x:c r="N33" s="100" t="str">
        <x:f>IF(A33="","",IF(COUNTIF($A$5:$A$404,A33)&gt;1,"DUPLICATE CLIENT",IF(B33="Active",IF(OR(F33="",G33="",H33="",J33=""),"COMPLETE CLIENT",IF(COUNTIF(Teams!$A$5:$A$104,J33)=0,"TEAM NOT FOUND","OK")),"OK")))</x:f>
      </x:c>
    </x:row>
    <x:row r="34">
      <x:c r="L34" s="100" t="str">
        <x:f>IF(A34="","",IF(B34&lt;&gt;"Active","NOT REQUIRED",IF(COUNTIF('Client Services'!$A$5:$A$1004,A34)=0,"ADD SERVICES","OK")))</x:f>
      </x:c>
      <x:c r="M34" s="100" t="str">
        <x:f>IF(A34="","",IF(B34&lt;&gt;"Active","NOT REQUIRED",IF(COUNTIF(Schedule!$C$5:$C$1204,A34)=0,"UNSCHEDULED",IF(H34="Custom","OK",IF(COUNTIF(Schedule!$C$5:$C$1204,A34)=IF(H34="Weekly",4,IF(H34="Fortnightly",2,1)),"OK","CHECK VISITS")))))</x:f>
      </x:c>
      <x:c r="N34" s="100" t="str">
        <x:f>IF(A34="","",IF(COUNTIF($A$5:$A$404,A34)&gt;1,"DUPLICATE CLIENT",IF(B34="Active",IF(OR(F34="",G34="",H34="",J34=""),"COMPLETE CLIENT",IF(COUNTIF(Teams!$A$5:$A$104,J34)=0,"TEAM NOT FOUND","OK")),"OK")))</x:f>
      </x:c>
    </x:row>
    <x:row r="35">
      <x:c r="L35" s="100" t="str">
        <x:f>IF(A35="","",IF(B35&lt;&gt;"Active","NOT REQUIRED",IF(COUNTIF('Client Services'!$A$5:$A$1004,A35)=0,"ADD SERVICES","OK")))</x:f>
      </x:c>
      <x:c r="M35" s="100" t="str">
        <x:f>IF(A35="","",IF(B35&lt;&gt;"Active","NOT REQUIRED",IF(COUNTIF(Schedule!$C$5:$C$1204,A35)=0,"UNSCHEDULED",IF(H35="Custom","OK",IF(COUNTIF(Schedule!$C$5:$C$1204,A35)=IF(H35="Weekly",4,IF(H35="Fortnightly",2,1)),"OK","CHECK VISITS")))))</x:f>
      </x:c>
      <x:c r="N35" s="100" t="str">
        <x:f>IF(A35="","",IF(COUNTIF($A$5:$A$404,A35)&gt;1,"DUPLICATE CLIENT",IF(B35="Active",IF(OR(F35="",G35="",H35="",J35=""),"COMPLETE CLIENT",IF(COUNTIF(Teams!$A$5:$A$104,J35)=0,"TEAM NOT FOUND","OK")),"OK")))</x:f>
      </x:c>
    </x:row>
    <x:row r="36">
      <x:c r="L36" s="100" t="str">
        <x:f>IF(A36="","",IF(B36&lt;&gt;"Active","NOT REQUIRED",IF(COUNTIF('Client Services'!$A$5:$A$1004,A36)=0,"ADD SERVICES","OK")))</x:f>
      </x:c>
      <x:c r="M36" s="100" t="str">
        <x:f>IF(A36="","",IF(B36&lt;&gt;"Active","NOT REQUIRED",IF(COUNTIF(Schedule!$C$5:$C$1204,A36)=0,"UNSCHEDULED",IF(H36="Custom","OK",IF(COUNTIF(Schedule!$C$5:$C$1204,A36)=IF(H36="Weekly",4,IF(H36="Fortnightly",2,1)),"OK","CHECK VISITS")))))</x:f>
      </x:c>
      <x:c r="N36" s="100" t="str">
        <x:f>IF(A36="","",IF(COUNTIF($A$5:$A$404,A36)&gt;1,"DUPLICATE CLIENT",IF(B36="Active",IF(OR(F36="",G36="",H36="",J36=""),"COMPLETE CLIENT",IF(COUNTIF(Teams!$A$5:$A$104,J36)=0,"TEAM NOT FOUND","OK")),"OK")))</x:f>
      </x:c>
    </x:row>
    <x:row r="37">
      <x:c r="L37" s="100" t="str">
        <x:f>IF(A37="","",IF(B37&lt;&gt;"Active","NOT REQUIRED",IF(COUNTIF('Client Services'!$A$5:$A$1004,A37)=0,"ADD SERVICES","OK")))</x:f>
      </x:c>
      <x:c r="M37" s="100" t="str">
        <x:f>IF(A37="","",IF(B37&lt;&gt;"Active","NOT REQUIRED",IF(COUNTIF(Schedule!$C$5:$C$1204,A37)=0,"UNSCHEDULED",IF(H37="Custom","OK",IF(COUNTIF(Schedule!$C$5:$C$1204,A37)=IF(H37="Weekly",4,IF(H37="Fortnightly",2,1)),"OK","CHECK VISITS")))))</x:f>
      </x:c>
      <x:c r="N37" s="100" t="str">
        <x:f>IF(A37="","",IF(COUNTIF($A$5:$A$404,A37)&gt;1,"DUPLICATE CLIENT",IF(B37="Active",IF(OR(F37="",G37="",H37="",J37=""),"COMPLETE CLIENT",IF(COUNTIF(Teams!$A$5:$A$104,J37)=0,"TEAM NOT FOUND","OK")),"OK")))</x:f>
      </x:c>
    </x:row>
    <x:row r="38">
      <x:c r="L38" s="100" t="str">
        <x:f>IF(A38="","",IF(B38&lt;&gt;"Active","NOT REQUIRED",IF(COUNTIF('Client Services'!$A$5:$A$1004,A38)=0,"ADD SERVICES","OK")))</x:f>
      </x:c>
      <x:c r="M38" s="100" t="str">
        <x:f>IF(A38="","",IF(B38&lt;&gt;"Active","NOT REQUIRED",IF(COUNTIF(Schedule!$C$5:$C$1204,A38)=0,"UNSCHEDULED",IF(H38="Custom","OK",IF(COUNTIF(Schedule!$C$5:$C$1204,A38)=IF(H38="Weekly",4,IF(H38="Fortnightly",2,1)),"OK","CHECK VISITS")))))</x:f>
      </x:c>
      <x:c r="N38" s="100" t="str">
        <x:f>IF(A38="","",IF(COUNTIF($A$5:$A$404,A38)&gt;1,"DUPLICATE CLIENT",IF(B38="Active",IF(OR(F38="",G38="",H38="",J38=""),"COMPLETE CLIENT",IF(COUNTIF(Teams!$A$5:$A$104,J38)=0,"TEAM NOT FOUND","OK")),"OK")))</x:f>
      </x:c>
    </x:row>
    <x:row r="39">
      <x:c r="L39" s="100" t="str">
        <x:f>IF(A39="","",IF(B39&lt;&gt;"Active","NOT REQUIRED",IF(COUNTIF('Client Services'!$A$5:$A$1004,A39)=0,"ADD SERVICES","OK")))</x:f>
      </x:c>
      <x:c r="M39" s="100" t="str">
        <x:f>IF(A39="","",IF(B39&lt;&gt;"Active","NOT REQUIRED",IF(COUNTIF(Schedule!$C$5:$C$1204,A39)=0,"UNSCHEDULED",IF(H39="Custom","OK",IF(COUNTIF(Schedule!$C$5:$C$1204,A39)=IF(H39="Weekly",4,IF(H39="Fortnightly",2,1)),"OK","CHECK VISITS")))))</x:f>
      </x:c>
      <x:c r="N39" s="100" t="str">
        <x:f>IF(A39="","",IF(COUNTIF($A$5:$A$404,A39)&gt;1,"DUPLICATE CLIENT",IF(B39="Active",IF(OR(F39="",G39="",H39="",J39=""),"COMPLETE CLIENT",IF(COUNTIF(Teams!$A$5:$A$104,J39)=0,"TEAM NOT FOUND","OK")),"OK")))</x:f>
      </x:c>
    </x:row>
    <x:row r="40">
      <x:c r="L40" s="100" t="str">
        <x:f>IF(A40="","",IF(B40&lt;&gt;"Active","NOT REQUIRED",IF(COUNTIF('Client Services'!$A$5:$A$1004,A40)=0,"ADD SERVICES","OK")))</x:f>
      </x:c>
      <x:c r="M40" s="100" t="str">
        <x:f>IF(A40="","",IF(B40&lt;&gt;"Active","NOT REQUIRED",IF(COUNTIF(Schedule!$C$5:$C$1204,A40)=0,"UNSCHEDULED",IF(H40="Custom","OK",IF(COUNTIF(Schedule!$C$5:$C$1204,A40)=IF(H40="Weekly",4,IF(H40="Fortnightly",2,1)),"OK","CHECK VISITS")))))</x:f>
      </x:c>
      <x:c r="N40" s="100" t="str">
        <x:f>IF(A40="","",IF(COUNTIF($A$5:$A$404,A40)&gt;1,"DUPLICATE CLIENT",IF(B40="Active",IF(OR(F40="",G40="",H40="",J40=""),"COMPLETE CLIENT",IF(COUNTIF(Teams!$A$5:$A$104,J40)=0,"TEAM NOT FOUND","OK")),"OK")))</x:f>
      </x:c>
    </x:row>
    <x:row r="41">
      <x:c r="L41" s="100" t="str">
        <x:f>IF(A41="","",IF(B41&lt;&gt;"Active","NOT REQUIRED",IF(COUNTIF('Client Services'!$A$5:$A$1004,A41)=0,"ADD SERVICES","OK")))</x:f>
      </x:c>
      <x:c r="M41" s="100" t="str">
        <x:f>IF(A41="","",IF(B41&lt;&gt;"Active","NOT REQUIRED",IF(COUNTIF(Schedule!$C$5:$C$1204,A41)=0,"UNSCHEDULED",IF(H41="Custom","OK",IF(COUNTIF(Schedule!$C$5:$C$1204,A41)=IF(H41="Weekly",4,IF(H41="Fortnightly",2,1)),"OK","CHECK VISITS")))))</x:f>
      </x:c>
      <x:c r="N41" s="100" t="str">
        <x:f>IF(A41="","",IF(COUNTIF($A$5:$A$404,A41)&gt;1,"DUPLICATE CLIENT",IF(B41="Active",IF(OR(F41="",G41="",H41="",J41=""),"COMPLETE CLIENT",IF(COUNTIF(Teams!$A$5:$A$104,J41)=0,"TEAM NOT FOUND","OK")),"OK")))</x:f>
      </x:c>
    </x:row>
    <x:row r="42">
      <x:c r="L42" s="100" t="str">
        <x:f>IF(A42="","",IF(B42&lt;&gt;"Active","NOT REQUIRED",IF(COUNTIF('Client Services'!$A$5:$A$1004,A42)=0,"ADD SERVICES","OK")))</x:f>
      </x:c>
      <x:c r="M42" s="100" t="str">
        <x:f>IF(A42="","",IF(B42&lt;&gt;"Active","NOT REQUIRED",IF(COUNTIF(Schedule!$C$5:$C$1204,A42)=0,"UNSCHEDULED",IF(H42="Custom","OK",IF(COUNTIF(Schedule!$C$5:$C$1204,A42)=IF(H42="Weekly",4,IF(H42="Fortnightly",2,1)),"OK","CHECK VISITS")))))</x:f>
      </x:c>
      <x:c r="N42" s="100" t="str">
        <x:f>IF(A42="","",IF(COUNTIF($A$5:$A$404,A42)&gt;1,"DUPLICATE CLIENT",IF(B42="Active",IF(OR(F42="",G42="",H42="",J42=""),"COMPLETE CLIENT",IF(COUNTIF(Teams!$A$5:$A$104,J42)=0,"TEAM NOT FOUND","OK")),"OK")))</x:f>
      </x:c>
    </x:row>
    <x:row r="43">
      <x:c r="L43" s="100" t="str">
        <x:f>IF(A43="","",IF(B43&lt;&gt;"Active","NOT REQUIRED",IF(COUNTIF('Client Services'!$A$5:$A$1004,A43)=0,"ADD SERVICES","OK")))</x:f>
      </x:c>
      <x:c r="M43" s="100" t="str">
        <x:f>IF(A43="","",IF(B43&lt;&gt;"Active","NOT REQUIRED",IF(COUNTIF(Schedule!$C$5:$C$1204,A43)=0,"UNSCHEDULED",IF(H43="Custom","OK",IF(COUNTIF(Schedule!$C$5:$C$1204,A43)=IF(H43="Weekly",4,IF(H43="Fortnightly",2,1)),"OK","CHECK VISITS")))))</x:f>
      </x:c>
      <x:c r="N43" s="100" t="str">
        <x:f>IF(A43="","",IF(COUNTIF($A$5:$A$404,A43)&gt;1,"DUPLICATE CLIENT",IF(B43="Active",IF(OR(F43="",G43="",H43="",J43=""),"COMPLETE CLIENT",IF(COUNTIF(Teams!$A$5:$A$104,J43)=0,"TEAM NOT FOUND","OK")),"OK")))</x:f>
      </x:c>
    </x:row>
    <x:row r="44">
      <x:c r="L44" s="100" t="str">
        <x:f>IF(A44="","",IF(B44&lt;&gt;"Active","NOT REQUIRED",IF(COUNTIF('Client Services'!$A$5:$A$1004,A44)=0,"ADD SERVICES","OK")))</x:f>
      </x:c>
      <x:c r="M44" s="100" t="str">
        <x:f>IF(A44="","",IF(B44&lt;&gt;"Active","NOT REQUIRED",IF(COUNTIF(Schedule!$C$5:$C$1204,A44)=0,"UNSCHEDULED",IF(H44="Custom","OK",IF(COUNTIF(Schedule!$C$5:$C$1204,A44)=IF(H44="Weekly",4,IF(H44="Fortnightly",2,1)),"OK","CHECK VISITS")))))</x:f>
      </x:c>
      <x:c r="N44" s="100" t="str">
        <x:f>IF(A44="","",IF(COUNTIF($A$5:$A$404,A44)&gt;1,"DUPLICATE CLIENT",IF(B44="Active",IF(OR(F44="",G44="",H44="",J44=""),"COMPLETE CLIENT",IF(COUNTIF(Teams!$A$5:$A$104,J44)=0,"TEAM NOT FOUND","OK")),"OK")))</x:f>
      </x:c>
    </x:row>
    <x:row r="45">
      <x:c r="L45" s="100" t="str">
        <x:f>IF(A45="","",IF(B45&lt;&gt;"Active","NOT REQUIRED",IF(COUNTIF('Client Services'!$A$5:$A$1004,A45)=0,"ADD SERVICES","OK")))</x:f>
      </x:c>
      <x:c r="M45" s="100" t="str">
        <x:f>IF(A45="","",IF(B45&lt;&gt;"Active","NOT REQUIRED",IF(COUNTIF(Schedule!$C$5:$C$1204,A45)=0,"UNSCHEDULED",IF(H45="Custom","OK",IF(COUNTIF(Schedule!$C$5:$C$1204,A45)=IF(H45="Weekly",4,IF(H45="Fortnightly",2,1)),"OK","CHECK VISITS")))))</x:f>
      </x:c>
      <x:c r="N45" s="100" t="str">
        <x:f>IF(A45="","",IF(COUNTIF($A$5:$A$404,A45)&gt;1,"DUPLICATE CLIENT",IF(B45="Active",IF(OR(F45="",G45="",H45="",J45=""),"COMPLETE CLIENT",IF(COUNTIF(Teams!$A$5:$A$104,J45)=0,"TEAM NOT FOUND","OK")),"OK")))</x:f>
      </x:c>
    </x:row>
    <x:row r="46">
      <x:c r="L46" s="100" t="str">
        <x:f>IF(A46="","",IF(B46&lt;&gt;"Active","NOT REQUIRED",IF(COUNTIF('Client Services'!$A$5:$A$1004,A46)=0,"ADD SERVICES","OK")))</x:f>
      </x:c>
      <x:c r="M46" s="100" t="str">
        <x:f>IF(A46="","",IF(B46&lt;&gt;"Active","NOT REQUIRED",IF(COUNTIF(Schedule!$C$5:$C$1204,A46)=0,"UNSCHEDULED",IF(H46="Custom","OK",IF(COUNTIF(Schedule!$C$5:$C$1204,A46)=IF(H46="Weekly",4,IF(H46="Fortnightly",2,1)),"OK","CHECK VISITS")))))</x:f>
      </x:c>
      <x:c r="N46" s="100" t="str">
        <x:f>IF(A46="","",IF(COUNTIF($A$5:$A$404,A46)&gt;1,"DUPLICATE CLIENT",IF(B46="Active",IF(OR(F46="",G46="",H46="",J46=""),"COMPLETE CLIENT",IF(COUNTIF(Teams!$A$5:$A$104,J46)=0,"TEAM NOT FOUND","OK")),"OK")))</x:f>
      </x:c>
    </x:row>
    <x:row r="47">
      <x:c r="L47" s="100" t="str">
        <x:f>IF(A47="","",IF(B47&lt;&gt;"Active","NOT REQUIRED",IF(COUNTIF('Client Services'!$A$5:$A$1004,A47)=0,"ADD SERVICES","OK")))</x:f>
      </x:c>
      <x:c r="M47" s="100" t="str">
        <x:f>IF(A47="","",IF(B47&lt;&gt;"Active","NOT REQUIRED",IF(COUNTIF(Schedule!$C$5:$C$1204,A47)=0,"UNSCHEDULED",IF(H47="Custom","OK",IF(COUNTIF(Schedule!$C$5:$C$1204,A47)=IF(H47="Weekly",4,IF(H47="Fortnightly",2,1)),"OK","CHECK VISITS")))))</x:f>
      </x:c>
      <x:c r="N47" s="100" t="str">
        <x:f>IF(A47="","",IF(COUNTIF($A$5:$A$404,A47)&gt;1,"DUPLICATE CLIENT",IF(B47="Active",IF(OR(F47="",G47="",H47="",J47=""),"COMPLETE CLIENT",IF(COUNTIF(Teams!$A$5:$A$104,J47)=0,"TEAM NOT FOUND","OK")),"OK")))</x:f>
      </x:c>
    </x:row>
    <x:row r="48">
      <x:c r="L48" s="100" t="str">
        <x:f>IF(A48="","",IF(B48&lt;&gt;"Active","NOT REQUIRED",IF(COUNTIF('Client Services'!$A$5:$A$1004,A48)=0,"ADD SERVICES","OK")))</x:f>
      </x:c>
      <x:c r="M48" s="100" t="str">
        <x:f>IF(A48="","",IF(B48&lt;&gt;"Active","NOT REQUIRED",IF(COUNTIF(Schedule!$C$5:$C$1204,A48)=0,"UNSCHEDULED",IF(H48="Custom","OK",IF(COUNTIF(Schedule!$C$5:$C$1204,A48)=IF(H48="Weekly",4,IF(H48="Fortnightly",2,1)),"OK","CHECK VISITS")))))</x:f>
      </x:c>
      <x:c r="N48" s="100" t="str">
        <x:f>IF(A48="","",IF(COUNTIF($A$5:$A$404,A48)&gt;1,"DUPLICATE CLIENT",IF(B48="Active",IF(OR(F48="",G48="",H48="",J48=""),"COMPLETE CLIENT",IF(COUNTIF(Teams!$A$5:$A$104,J48)=0,"TEAM NOT FOUND","OK")),"OK")))</x:f>
      </x:c>
    </x:row>
    <x:row r="49">
      <x:c r="L49" s="100" t="str">
        <x:f>IF(A49="","",IF(B49&lt;&gt;"Active","NOT REQUIRED",IF(COUNTIF('Client Services'!$A$5:$A$1004,A49)=0,"ADD SERVICES","OK")))</x:f>
      </x:c>
      <x:c r="M49" s="100" t="str">
        <x:f>IF(A49="","",IF(B49&lt;&gt;"Active","NOT REQUIRED",IF(COUNTIF(Schedule!$C$5:$C$1204,A49)=0,"UNSCHEDULED",IF(H49="Custom","OK",IF(COUNTIF(Schedule!$C$5:$C$1204,A49)=IF(H49="Weekly",4,IF(H49="Fortnightly",2,1)),"OK","CHECK VISITS")))))</x:f>
      </x:c>
      <x:c r="N49" s="100" t="str">
        <x:f>IF(A49="","",IF(COUNTIF($A$5:$A$404,A49)&gt;1,"DUPLICATE CLIENT",IF(B49="Active",IF(OR(F49="",G49="",H49="",J49=""),"COMPLETE CLIENT",IF(COUNTIF(Teams!$A$5:$A$104,J49)=0,"TEAM NOT FOUND","OK")),"OK")))</x:f>
      </x:c>
    </x:row>
    <x:row r="50">
      <x:c r="L50" s="100" t="str">
        <x:f>IF(A50="","",IF(B50&lt;&gt;"Active","NOT REQUIRED",IF(COUNTIF('Client Services'!$A$5:$A$1004,A50)=0,"ADD SERVICES","OK")))</x:f>
      </x:c>
      <x:c r="M50" s="100" t="str">
        <x:f>IF(A50="","",IF(B50&lt;&gt;"Active","NOT REQUIRED",IF(COUNTIF(Schedule!$C$5:$C$1204,A50)=0,"UNSCHEDULED",IF(H50="Custom","OK",IF(COUNTIF(Schedule!$C$5:$C$1204,A50)=IF(H50="Weekly",4,IF(H50="Fortnightly",2,1)),"OK","CHECK VISITS")))))</x:f>
      </x:c>
      <x:c r="N50" s="100" t="str">
        <x:f>IF(A50="","",IF(COUNTIF($A$5:$A$404,A50)&gt;1,"DUPLICATE CLIENT",IF(B50="Active",IF(OR(F50="",G50="",H50="",J50=""),"COMPLETE CLIENT",IF(COUNTIF(Teams!$A$5:$A$104,J50)=0,"TEAM NOT FOUND","OK")),"OK")))</x:f>
      </x:c>
    </x:row>
    <x:row r="51">
      <x:c r="L51" s="100" t="str">
        <x:f>IF(A51="","",IF(B51&lt;&gt;"Active","NOT REQUIRED",IF(COUNTIF('Client Services'!$A$5:$A$1004,A51)=0,"ADD SERVICES","OK")))</x:f>
      </x:c>
      <x:c r="M51" s="100" t="str">
        <x:f>IF(A51="","",IF(B51&lt;&gt;"Active","NOT REQUIRED",IF(COUNTIF(Schedule!$C$5:$C$1204,A51)=0,"UNSCHEDULED",IF(H51="Custom","OK",IF(COUNTIF(Schedule!$C$5:$C$1204,A51)=IF(H51="Weekly",4,IF(H51="Fortnightly",2,1)),"OK","CHECK VISITS")))))</x:f>
      </x:c>
      <x:c r="N51" s="100" t="str">
        <x:f>IF(A51="","",IF(COUNTIF($A$5:$A$404,A51)&gt;1,"DUPLICATE CLIENT",IF(B51="Active",IF(OR(F51="",G51="",H51="",J51=""),"COMPLETE CLIENT",IF(COUNTIF(Teams!$A$5:$A$104,J51)=0,"TEAM NOT FOUND","OK")),"OK")))</x:f>
      </x:c>
    </x:row>
    <x:row r="52">
      <x:c r="L52" s="100" t="str">
        <x:f>IF(A52="","",IF(B52&lt;&gt;"Active","NOT REQUIRED",IF(COUNTIF('Client Services'!$A$5:$A$1004,A52)=0,"ADD SERVICES","OK")))</x:f>
      </x:c>
      <x:c r="M52" s="100" t="str">
        <x:f>IF(A52="","",IF(B52&lt;&gt;"Active","NOT REQUIRED",IF(COUNTIF(Schedule!$C$5:$C$1204,A52)=0,"UNSCHEDULED",IF(H52="Custom","OK",IF(COUNTIF(Schedule!$C$5:$C$1204,A52)=IF(H52="Weekly",4,IF(H52="Fortnightly",2,1)),"OK","CHECK VISITS")))))</x:f>
      </x:c>
      <x:c r="N52" s="100" t="str">
        <x:f>IF(A52="","",IF(COUNTIF($A$5:$A$404,A52)&gt;1,"DUPLICATE CLIENT",IF(B52="Active",IF(OR(F52="",G52="",H52="",J52=""),"COMPLETE CLIENT",IF(COUNTIF(Teams!$A$5:$A$104,J52)=0,"TEAM NOT FOUND","OK")),"OK")))</x:f>
      </x:c>
    </x:row>
    <x:row r="53">
      <x:c r="L53" s="100" t="str">
        <x:f>IF(A53="","",IF(B53&lt;&gt;"Active","NOT REQUIRED",IF(COUNTIF('Client Services'!$A$5:$A$1004,A53)=0,"ADD SERVICES","OK")))</x:f>
      </x:c>
      <x:c r="M53" s="100" t="str">
        <x:f>IF(A53="","",IF(B53&lt;&gt;"Active","NOT REQUIRED",IF(COUNTIF(Schedule!$C$5:$C$1204,A53)=0,"UNSCHEDULED",IF(H53="Custom","OK",IF(COUNTIF(Schedule!$C$5:$C$1204,A53)=IF(H53="Weekly",4,IF(H53="Fortnightly",2,1)),"OK","CHECK VISITS")))))</x:f>
      </x:c>
      <x:c r="N53" s="100" t="str">
        <x:f>IF(A53="","",IF(COUNTIF($A$5:$A$404,A53)&gt;1,"DUPLICATE CLIENT",IF(B53="Active",IF(OR(F53="",G53="",H53="",J53=""),"COMPLETE CLIENT",IF(COUNTIF(Teams!$A$5:$A$104,J53)=0,"TEAM NOT FOUND","OK")),"OK")))</x:f>
      </x:c>
    </x:row>
    <x:row r="54">
      <x:c r="L54" s="100" t="str">
        <x:f>IF(A54="","",IF(B54&lt;&gt;"Active","NOT REQUIRED",IF(COUNTIF('Client Services'!$A$5:$A$1004,A54)=0,"ADD SERVICES","OK")))</x:f>
      </x:c>
      <x:c r="M54" s="100" t="str">
        <x:f>IF(A54="","",IF(B54&lt;&gt;"Active","NOT REQUIRED",IF(COUNTIF(Schedule!$C$5:$C$1204,A54)=0,"UNSCHEDULED",IF(H54="Custom","OK",IF(COUNTIF(Schedule!$C$5:$C$1204,A54)=IF(H54="Weekly",4,IF(H54="Fortnightly",2,1)),"OK","CHECK VISITS")))))</x:f>
      </x:c>
      <x:c r="N54" s="100" t="str">
        <x:f>IF(A54="","",IF(COUNTIF($A$5:$A$404,A54)&gt;1,"DUPLICATE CLIENT",IF(B54="Active",IF(OR(F54="",G54="",H54="",J54=""),"COMPLETE CLIENT",IF(COUNTIF(Teams!$A$5:$A$104,J54)=0,"TEAM NOT FOUND","OK")),"OK")))</x:f>
      </x:c>
    </x:row>
    <x:row r="55">
      <x:c r="L55" s="100" t="str">
        <x:f>IF(A55="","",IF(B55&lt;&gt;"Active","NOT REQUIRED",IF(COUNTIF('Client Services'!$A$5:$A$1004,A55)=0,"ADD SERVICES","OK")))</x:f>
      </x:c>
      <x:c r="M55" s="100" t="str">
        <x:f>IF(A55="","",IF(B55&lt;&gt;"Active","NOT REQUIRED",IF(COUNTIF(Schedule!$C$5:$C$1204,A55)=0,"UNSCHEDULED",IF(H55="Custom","OK",IF(COUNTIF(Schedule!$C$5:$C$1204,A55)=IF(H55="Weekly",4,IF(H55="Fortnightly",2,1)),"OK","CHECK VISITS")))))</x:f>
      </x:c>
      <x:c r="N55" s="100" t="str">
        <x:f>IF(A55="","",IF(COUNTIF($A$5:$A$404,A55)&gt;1,"DUPLICATE CLIENT",IF(B55="Active",IF(OR(F55="",G55="",H55="",J55=""),"COMPLETE CLIENT",IF(COUNTIF(Teams!$A$5:$A$104,J55)=0,"TEAM NOT FOUND","OK")),"OK")))</x:f>
      </x:c>
    </x:row>
    <x:row r="56">
      <x:c r="L56" s="100" t="str">
        <x:f>IF(A56="","",IF(B56&lt;&gt;"Active","NOT REQUIRED",IF(COUNTIF('Client Services'!$A$5:$A$1004,A56)=0,"ADD SERVICES","OK")))</x:f>
      </x:c>
      <x:c r="M56" s="100" t="str">
        <x:f>IF(A56="","",IF(B56&lt;&gt;"Active","NOT REQUIRED",IF(COUNTIF(Schedule!$C$5:$C$1204,A56)=0,"UNSCHEDULED",IF(H56="Custom","OK",IF(COUNTIF(Schedule!$C$5:$C$1204,A56)=IF(H56="Weekly",4,IF(H56="Fortnightly",2,1)),"OK","CHECK VISITS")))))</x:f>
      </x:c>
      <x:c r="N56" s="100" t="str">
        <x:f>IF(A56="","",IF(COUNTIF($A$5:$A$404,A56)&gt;1,"DUPLICATE CLIENT",IF(B56="Active",IF(OR(F56="",G56="",H56="",J56=""),"COMPLETE CLIENT",IF(COUNTIF(Teams!$A$5:$A$104,J56)=0,"TEAM NOT FOUND","OK")),"OK")))</x:f>
      </x:c>
    </x:row>
    <x:row r="57">
      <x:c r="L57" s="100" t="str">
        <x:f>IF(A57="","",IF(B57&lt;&gt;"Active","NOT REQUIRED",IF(COUNTIF('Client Services'!$A$5:$A$1004,A57)=0,"ADD SERVICES","OK")))</x:f>
      </x:c>
      <x:c r="M57" s="100" t="str">
        <x:f>IF(A57="","",IF(B57&lt;&gt;"Active","NOT REQUIRED",IF(COUNTIF(Schedule!$C$5:$C$1204,A57)=0,"UNSCHEDULED",IF(H57="Custom","OK",IF(COUNTIF(Schedule!$C$5:$C$1204,A57)=IF(H57="Weekly",4,IF(H57="Fortnightly",2,1)),"OK","CHECK VISITS")))))</x:f>
      </x:c>
      <x:c r="N57" s="100" t="str">
        <x:f>IF(A57="","",IF(COUNTIF($A$5:$A$404,A57)&gt;1,"DUPLICATE CLIENT",IF(B57="Active",IF(OR(F57="",G57="",H57="",J57=""),"COMPLETE CLIENT",IF(COUNTIF(Teams!$A$5:$A$104,J57)=0,"TEAM NOT FOUND","OK")),"OK")))</x:f>
      </x:c>
    </x:row>
    <x:row r="58">
      <x:c r="L58" s="100" t="str">
        <x:f>IF(A58="","",IF(B58&lt;&gt;"Active","NOT REQUIRED",IF(COUNTIF('Client Services'!$A$5:$A$1004,A58)=0,"ADD SERVICES","OK")))</x:f>
      </x:c>
      <x:c r="M58" s="100" t="str">
        <x:f>IF(A58="","",IF(B58&lt;&gt;"Active","NOT REQUIRED",IF(COUNTIF(Schedule!$C$5:$C$1204,A58)=0,"UNSCHEDULED",IF(H58="Custom","OK",IF(COUNTIF(Schedule!$C$5:$C$1204,A58)=IF(H58="Weekly",4,IF(H58="Fortnightly",2,1)),"OK","CHECK VISITS")))))</x:f>
      </x:c>
      <x:c r="N58" s="100" t="str">
        <x:f>IF(A58="","",IF(COUNTIF($A$5:$A$404,A58)&gt;1,"DUPLICATE CLIENT",IF(B58="Active",IF(OR(F58="",G58="",H58="",J58=""),"COMPLETE CLIENT",IF(COUNTIF(Teams!$A$5:$A$104,J58)=0,"TEAM NOT FOUND","OK")),"OK")))</x:f>
      </x:c>
    </x:row>
    <x:row r="59">
      <x:c r="L59" s="100" t="str">
        <x:f>IF(A59="","",IF(B59&lt;&gt;"Active","NOT REQUIRED",IF(COUNTIF('Client Services'!$A$5:$A$1004,A59)=0,"ADD SERVICES","OK")))</x:f>
      </x:c>
      <x:c r="M59" s="100" t="str">
        <x:f>IF(A59="","",IF(B59&lt;&gt;"Active","NOT REQUIRED",IF(COUNTIF(Schedule!$C$5:$C$1204,A59)=0,"UNSCHEDULED",IF(H59="Custom","OK",IF(COUNTIF(Schedule!$C$5:$C$1204,A59)=IF(H59="Weekly",4,IF(H59="Fortnightly",2,1)),"OK","CHECK VISITS")))))</x:f>
      </x:c>
      <x:c r="N59" s="100" t="str">
        <x:f>IF(A59="","",IF(COUNTIF($A$5:$A$404,A59)&gt;1,"DUPLICATE CLIENT",IF(B59="Active",IF(OR(F59="",G59="",H59="",J59=""),"COMPLETE CLIENT",IF(COUNTIF(Teams!$A$5:$A$104,J59)=0,"TEAM NOT FOUND","OK")),"OK")))</x:f>
      </x:c>
    </x:row>
    <x:row r="60">
      <x:c r="L60" s="100" t="str">
        <x:f>IF(A60="","",IF(B60&lt;&gt;"Active","NOT REQUIRED",IF(COUNTIF('Client Services'!$A$5:$A$1004,A60)=0,"ADD SERVICES","OK")))</x:f>
      </x:c>
      <x:c r="M60" s="100" t="str">
        <x:f>IF(A60="","",IF(B60&lt;&gt;"Active","NOT REQUIRED",IF(COUNTIF(Schedule!$C$5:$C$1204,A60)=0,"UNSCHEDULED",IF(H60="Custom","OK",IF(COUNTIF(Schedule!$C$5:$C$1204,A60)=IF(H60="Weekly",4,IF(H60="Fortnightly",2,1)),"OK","CHECK VISITS")))))</x:f>
      </x:c>
      <x:c r="N60" s="100" t="str">
        <x:f>IF(A60="","",IF(COUNTIF($A$5:$A$404,A60)&gt;1,"DUPLICATE CLIENT",IF(B60="Active",IF(OR(F60="",G60="",H60="",J60=""),"COMPLETE CLIENT",IF(COUNTIF(Teams!$A$5:$A$104,J60)=0,"TEAM NOT FOUND","OK")),"OK")))</x:f>
      </x:c>
    </x:row>
    <x:row r="61">
      <x:c r="L61" s="100" t="str">
        <x:f>IF(A61="","",IF(B61&lt;&gt;"Active","NOT REQUIRED",IF(COUNTIF('Client Services'!$A$5:$A$1004,A61)=0,"ADD SERVICES","OK")))</x:f>
      </x:c>
      <x:c r="M61" s="100" t="str">
        <x:f>IF(A61="","",IF(B61&lt;&gt;"Active","NOT REQUIRED",IF(COUNTIF(Schedule!$C$5:$C$1204,A61)=0,"UNSCHEDULED",IF(H61="Custom","OK",IF(COUNTIF(Schedule!$C$5:$C$1204,A61)=IF(H61="Weekly",4,IF(H61="Fortnightly",2,1)),"OK","CHECK VISITS")))))</x:f>
      </x:c>
      <x:c r="N61" s="100" t="str">
        <x:f>IF(A61="","",IF(COUNTIF($A$5:$A$404,A61)&gt;1,"DUPLICATE CLIENT",IF(B61="Active",IF(OR(F61="",G61="",H61="",J61=""),"COMPLETE CLIENT",IF(COUNTIF(Teams!$A$5:$A$104,J61)=0,"TEAM NOT FOUND","OK")),"OK")))</x:f>
      </x:c>
    </x:row>
    <x:row r="62">
      <x:c r="L62" s="100" t="str">
        <x:f>IF(A62="","",IF(B62&lt;&gt;"Active","NOT REQUIRED",IF(COUNTIF('Client Services'!$A$5:$A$1004,A62)=0,"ADD SERVICES","OK")))</x:f>
      </x:c>
      <x:c r="M62" s="100" t="str">
        <x:f>IF(A62="","",IF(B62&lt;&gt;"Active","NOT REQUIRED",IF(COUNTIF(Schedule!$C$5:$C$1204,A62)=0,"UNSCHEDULED",IF(H62="Custom","OK",IF(COUNTIF(Schedule!$C$5:$C$1204,A62)=IF(H62="Weekly",4,IF(H62="Fortnightly",2,1)),"OK","CHECK VISITS")))))</x:f>
      </x:c>
      <x:c r="N62" s="100" t="str">
        <x:f>IF(A62="","",IF(COUNTIF($A$5:$A$404,A62)&gt;1,"DUPLICATE CLIENT",IF(B62="Active",IF(OR(F62="",G62="",H62="",J62=""),"COMPLETE CLIENT",IF(COUNTIF(Teams!$A$5:$A$104,J62)=0,"TEAM NOT FOUND","OK")),"OK")))</x:f>
      </x:c>
    </x:row>
    <x:row r="63">
      <x:c r="L63" s="100" t="str">
        <x:f>IF(A63="","",IF(B63&lt;&gt;"Active","NOT REQUIRED",IF(COUNTIF('Client Services'!$A$5:$A$1004,A63)=0,"ADD SERVICES","OK")))</x:f>
      </x:c>
      <x:c r="M63" s="100" t="str">
        <x:f>IF(A63="","",IF(B63&lt;&gt;"Active","NOT REQUIRED",IF(COUNTIF(Schedule!$C$5:$C$1204,A63)=0,"UNSCHEDULED",IF(H63="Custom","OK",IF(COUNTIF(Schedule!$C$5:$C$1204,A63)=IF(H63="Weekly",4,IF(H63="Fortnightly",2,1)),"OK","CHECK VISITS")))))</x:f>
      </x:c>
      <x:c r="N63" s="100" t="str">
        <x:f>IF(A63="","",IF(COUNTIF($A$5:$A$404,A63)&gt;1,"DUPLICATE CLIENT",IF(B63="Active",IF(OR(F63="",G63="",H63="",J63=""),"COMPLETE CLIENT",IF(COUNTIF(Teams!$A$5:$A$104,J63)=0,"TEAM NOT FOUND","OK")),"OK")))</x:f>
      </x:c>
    </x:row>
    <x:row r="64">
      <x:c r="L64" s="100" t="str">
        <x:f>IF(A64="","",IF(B64&lt;&gt;"Active","NOT REQUIRED",IF(COUNTIF('Client Services'!$A$5:$A$1004,A64)=0,"ADD SERVICES","OK")))</x:f>
      </x:c>
      <x:c r="M64" s="100" t="str">
        <x:f>IF(A64="","",IF(B64&lt;&gt;"Active","NOT REQUIRED",IF(COUNTIF(Schedule!$C$5:$C$1204,A64)=0,"UNSCHEDULED",IF(H64="Custom","OK",IF(COUNTIF(Schedule!$C$5:$C$1204,A64)=IF(H64="Weekly",4,IF(H64="Fortnightly",2,1)),"OK","CHECK VISITS")))))</x:f>
      </x:c>
      <x:c r="N64" s="100" t="str">
        <x:f>IF(A64="","",IF(COUNTIF($A$5:$A$404,A64)&gt;1,"DUPLICATE CLIENT",IF(B64="Active",IF(OR(F64="",G64="",H64="",J64=""),"COMPLETE CLIENT",IF(COUNTIF(Teams!$A$5:$A$104,J64)=0,"TEAM NOT FOUND","OK")),"OK")))</x:f>
      </x:c>
    </x:row>
    <x:row r="65">
      <x:c r="L65" s="100" t="str">
        <x:f>IF(A65="","",IF(B65&lt;&gt;"Active","NOT REQUIRED",IF(COUNTIF('Client Services'!$A$5:$A$1004,A65)=0,"ADD SERVICES","OK")))</x:f>
      </x:c>
      <x:c r="M65" s="100" t="str">
        <x:f>IF(A65="","",IF(B65&lt;&gt;"Active","NOT REQUIRED",IF(COUNTIF(Schedule!$C$5:$C$1204,A65)=0,"UNSCHEDULED",IF(H65="Custom","OK",IF(COUNTIF(Schedule!$C$5:$C$1204,A65)=IF(H65="Weekly",4,IF(H65="Fortnightly",2,1)),"OK","CHECK VISITS")))))</x:f>
      </x:c>
      <x:c r="N65" s="100" t="str">
        <x:f>IF(A65="","",IF(COUNTIF($A$5:$A$404,A65)&gt;1,"DUPLICATE CLIENT",IF(B65="Active",IF(OR(F65="",G65="",H65="",J65=""),"COMPLETE CLIENT",IF(COUNTIF(Teams!$A$5:$A$104,J65)=0,"TEAM NOT FOUND","OK")),"OK")))</x:f>
      </x:c>
    </x:row>
    <x:row r="66">
      <x:c r="L66" s="100" t="str">
        <x:f>IF(A66="","",IF(B66&lt;&gt;"Active","NOT REQUIRED",IF(COUNTIF('Client Services'!$A$5:$A$1004,A66)=0,"ADD SERVICES","OK")))</x:f>
      </x:c>
      <x:c r="M66" s="100" t="str">
        <x:f>IF(A66="","",IF(B66&lt;&gt;"Active","NOT REQUIRED",IF(COUNTIF(Schedule!$C$5:$C$1204,A66)=0,"UNSCHEDULED",IF(H66="Custom","OK",IF(COUNTIF(Schedule!$C$5:$C$1204,A66)=IF(H66="Weekly",4,IF(H66="Fortnightly",2,1)),"OK","CHECK VISITS")))))</x:f>
      </x:c>
      <x:c r="N66" s="100" t="str">
        <x:f>IF(A66="","",IF(COUNTIF($A$5:$A$404,A66)&gt;1,"DUPLICATE CLIENT",IF(B66="Active",IF(OR(F66="",G66="",H66="",J66=""),"COMPLETE CLIENT",IF(COUNTIF(Teams!$A$5:$A$104,J66)=0,"TEAM NOT FOUND","OK")),"OK")))</x:f>
      </x:c>
    </x:row>
    <x:row r="67">
      <x:c r="L67" s="100" t="str">
        <x:f>IF(A67="","",IF(B67&lt;&gt;"Active","NOT REQUIRED",IF(COUNTIF('Client Services'!$A$5:$A$1004,A67)=0,"ADD SERVICES","OK")))</x:f>
      </x:c>
      <x:c r="M67" s="100" t="str">
        <x:f>IF(A67="","",IF(B67&lt;&gt;"Active","NOT REQUIRED",IF(COUNTIF(Schedule!$C$5:$C$1204,A67)=0,"UNSCHEDULED",IF(H67="Custom","OK",IF(COUNTIF(Schedule!$C$5:$C$1204,A67)=IF(H67="Weekly",4,IF(H67="Fortnightly",2,1)),"OK","CHECK VISITS")))))</x:f>
      </x:c>
      <x:c r="N67" s="100" t="str">
        <x:f>IF(A67="","",IF(COUNTIF($A$5:$A$404,A67)&gt;1,"DUPLICATE CLIENT",IF(B67="Active",IF(OR(F67="",G67="",H67="",J67=""),"COMPLETE CLIENT",IF(COUNTIF(Teams!$A$5:$A$104,J67)=0,"TEAM NOT FOUND","OK")),"OK")))</x:f>
      </x:c>
    </x:row>
    <x:row r="68">
      <x:c r="L68" s="100" t="str">
        <x:f>IF(A68="","",IF(B68&lt;&gt;"Active","NOT REQUIRED",IF(COUNTIF('Client Services'!$A$5:$A$1004,A68)=0,"ADD SERVICES","OK")))</x:f>
      </x:c>
      <x:c r="M68" s="100" t="str">
        <x:f>IF(A68="","",IF(B68&lt;&gt;"Active","NOT REQUIRED",IF(COUNTIF(Schedule!$C$5:$C$1204,A68)=0,"UNSCHEDULED",IF(H68="Custom","OK",IF(COUNTIF(Schedule!$C$5:$C$1204,A68)=IF(H68="Weekly",4,IF(H68="Fortnightly",2,1)),"OK","CHECK VISITS")))))</x:f>
      </x:c>
      <x:c r="N68" s="100" t="str">
        <x:f>IF(A68="","",IF(COUNTIF($A$5:$A$404,A68)&gt;1,"DUPLICATE CLIENT",IF(B68="Active",IF(OR(F68="",G68="",H68="",J68=""),"COMPLETE CLIENT",IF(COUNTIF(Teams!$A$5:$A$104,J68)=0,"TEAM NOT FOUND","OK")),"OK")))</x:f>
      </x:c>
    </x:row>
    <x:row r="69">
      <x:c r="L69" s="100" t="str">
        <x:f>IF(A69="","",IF(B69&lt;&gt;"Active","NOT REQUIRED",IF(COUNTIF('Client Services'!$A$5:$A$1004,A69)=0,"ADD SERVICES","OK")))</x:f>
      </x:c>
      <x:c r="M69" s="100" t="str">
        <x:f>IF(A69="","",IF(B69&lt;&gt;"Active","NOT REQUIRED",IF(COUNTIF(Schedule!$C$5:$C$1204,A69)=0,"UNSCHEDULED",IF(H69="Custom","OK",IF(COUNTIF(Schedule!$C$5:$C$1204,A69)=IF(H69="Weekly",4,IF(H69="Fortnightly",2,1)),"OK","CHECK VISITS")))))</x:f>
      </x:c>
      <x:c r="N69" s="100" t="str">
        <x:f>IF(A69="","",IF(COUNTIF($A$5:$A$404,A69)&gt;1,"DUPLICATE CLIENT",IF(B69="Active",IF(OR(F69="",G69="",H69="",J69=""),"COMPLETE CLIENT",IF(COUNTIF(Teams!$A$5:$A$104,J69)=0,"TEAM NOT FOUND","OK")),"OK")))</x:f>
      </x:c>
    </x:row>
    <x:row r="70">
      <x:c r="L70" s="100" t="str">
        <x:f>IF(A70="","",IF(B70&lt;&gt;"Active","NOT REQUIRED",IF(COUNTIF('Client Services'!$A$5:$A$1004,A70)=0,"ADD SERVICES","OK")))</x:f>
      </x:c>
      <x:c r="M70" s="100" t="str">
        <x:f>IF(A70="","",IF(B70&lt;&gt;"Active","NOT REQUIRED",IF(COUNTIF(Schedule!$C$5:$C$1204,A70)=0,"UNSCHEDULED",IF(H70="Custom","OK",IF(COUNTIF(Schedule!$C$5:$C$1204,A70)=IF(H70="Weekly",4,IF(H70="Fortnightly",2,1)),"OK","CHECK VISITS")))))</x:f>
      </x:c>
      <x:c r="N70" s="100" t="str">
        <x:f>IF(A70="","",IF(COUNTIF($A$5:$A$404,A70)&gt;1,"DUPLICATE CLIENT",IF(B70="Active",IF(OR(F70="",G70="",H70="",J70=""),"COMPLETE CLIENT",IF(COUNTIF(Teams!$A$5:$A$104,J70)=0,"TEAM NOT FOUND","OK")),"OK")))</x:f>
      </x:c>
    </x:row>
    <x:row r="71">
      <x:c r="L71" s="100" t="str">
        <x:f>IF(A71="","",IF(B71&lt;&gt;"Active","NOT REQUIRED",IF(COUNTIF('Client Services'!$A$5:$A$1004,A71)=0,"ADD SERVICES","OK")))</x:f>
      </x:c>
      <x:c r="M71" s="100" t="str">
        <x:f>IF(A71="","",IF(B71&lt;&gt;"Active","NOT REQUIRED",IF(COUNTIF(Schedule!$C$5:$C$1204,A71)=0,"UNSCHEDULED",IF(H71="Custom","OK",IF(COUNTIF(Schedule!$C$5:$C$1204,A71)=IF(H71="Weekly",4,IF(H71="Fortnightly",2,1)),"OK","CHECK VISITS")))))</x:f>
      </x:c>
      <x:c r="N71" s="100" t="str">
        <x:f>IF(A71="","",IF(COUNTIF($A$5:$A$404,A71)&gt;1,"DUPLICATE CLIENT",IF(B71="Active",IF(OR(F71="",G71="",H71="",J71=""),"COMPLETE CLIENT",IF(COUNTIF(Teams!$A$5:$A$104,J71)=0,"TEAM NOT FOUND","OK")),"OK")))</x:f>
      </x:c>
    </x:row>
    <x:row r="72">
      <x:c r="L72" s="100" t="str">
        <x:f>IF(A72="","",IF(B72&lt;&gt;"Active","NOT REQUIRED",IF(COUNTIF('Client Services'!$A$5:$A$1004,A72)=0,"ADD SERVICES","OK")))</x:f>
      </x:c>
      <x:c r="M72" s="100" t="str">
        <x:f>IF(A72="","",IF(B72&lt;&gt;"Active","NOT REQUIRED",IF(COUNTIF(Schedule!$C$5:$C$1204,A72)=0,"UNSCHEDULED",IF(H72="Custom","OK",IF(COUNTIF(Schedule!$C$5:$C$1204,A72)=IF(H72="Weekly",4,IF(H72="Fortnightly",2,1)),"OK","CHECK VISITS")))))</x:f>
      </x:c>
      <x:c r="N72" s="100" t="str">
        <x:f>IF(A72="","",IF(COUNTIF($A$5:$A$404,A72)&gt;1,"DUPLICATE CLIENT",IF(B72="Active",IF(OR(F72="",G72="",H72="",J72=""),"COMPLETE CLIENT",IF(COUNTIF(Teams!$A$5:$A$104,J72)=0,"TEAM NOT FOUND","OK")),"OK")))</x:f>
      </x:c>
    </x:row>
    <x:row r="73">
      <x:c r="L73" s="100" t="str">
        <x:f>IF(A73="","",IF(B73&lt;&gt;"Active","NOT REQUIRED",IF(COUNTIF('Client Services'!$A$5:$A$1004,A73)=0,"ADD SERVICES","OK")))</x:f>
      </x:c>
      <x:c r="M73" s="100" t="str">
        <x:f>IF(A73="","",IF(B73&lt;&gt;"Active","NOT REQUIRED",IF(COUNTIF(Schedule!$C$5:$C$1204,A73)=0,"UNSCHEDULED",IF(H73="Custom","OK",IF(COUNTIF(Schedule!$C$5:$C$1204,A73)=IF(H73="Weekly",4,IF(H73="Fortnightly",2,1)),"OK","CHECK VISITS")))))</x:f>
      </x:c>
      <x:c r="N73" s="100" t="str">
        <x:f>IF(A73="","",IF(COUNTIF($A$5:$A$404,A73)&gt;1,"DUPLICATE CLIENT",IF(B73="Active",IF(OR(F73="",G73="",H73="",J73=""),"COMPLETE CLIENT",IF(COUNTIF(Teams!$A$5:$A$104,J73)=0,"TEAM NOT FOUND","OK")),"OK")))</x:f>
      </x:c>
    </x:row>
    <x:row r="74">
      <x:c r="L74" s="100" t="str">
        <x:f>IF(A74="","",IF(B74&lt;&gt;"Active","NOT REQUIRED",IF(COUNTIF('Client Services'!$A$5:$A$1004,A74)=0,"ADD SERVICES","OK")))</x:f>
      </x:c>
      <x:c r="M74" s="100" t="str">
        <x:f>IF(A74="","",IF(B74&lt;&gt;"Active","NOT REQUIRED",IF(COUNTIF(Schedule!$C$5:$C$1204,A74)=0,"UNSCHEDULED",IF(H74="Custom","OK",IF(COUNTIF(Schedule!$C$5:$C$1204,A74)=IF(H74="Weekly",4,IF(H74="Fortnightly",2,1)),"OK","CHECK VISITS")))))</x:f>
      </x:c>
      <x:c r="N74" s="100" t="str">
        <x:f>IF(A74="","",IF(COUNTIF($A$5:$A$404,A74)&gt;1,"DUPLICATE CLIENT",IF(B74="Active",IF(OR(F74="",G74="",H74="",J74=""),"COMPLETE CLIENT",IF(COUNTIF(Teams!$A$5:$A$104,J74)=0,"TEAM NOT FOUND","OK")),"OK")))</x:f>
      </x:c>
    </x:row>
    <x:row r="75">
      <x:c r="L75" s="100" t="str">
        <x:f>IF(A75="","",IF(B75&lt;&gt;"Active","NOT REQUIRED",IF(COUNTIF('Client Services'!$A$5:$A$1004,A75)=0,"ADD SERVICES","OK")))</x:f>
      </x:c>
      <x:c r="M75" s="100" t="str">
        <x:f>IF(A75="","",IF(B75&lt;&gt;"Active","NOT REQUIRED",IF(COUNTIF(Schedule!$C$5:$C$1204,A75)=0,"UNSCHEDULED",IF(H75="Custom","OK",IF(COUNTIF(Schedule!$C$5:$C$1204,A75)=IF(H75="Weekly",4,IF(H75="Fortnightly",2,1)),"OK","CHECK VISITS")))))</x:f>
      </x:c>
      <x:c r="N75" s="100" t="str">
        <x:f>IF(A75="","",IF(COUNTIF($A$5:$A$404,A75)&gt;1,"DUPLICATE CLIENT",IF(B75="Active",IF(OR(F75="",G75="",H75="",J75=""),"COMPLETE CLIENT",IF(COUNTIF(Teams!$A$5:$A$104,J75)=0,"TEAM NOT FOUND","OK")),"OK")))</x:f>
      </x:c>
    </x:row>
    <x:row r="76">
      <x:c r="L76" s="100" t="str">
        <x:f>IF(A76="","",IF(B76&lt;&gt;"Active","NOT REQUIRED",IF(COUNTIF('Client Services'!$A$5:$A$1004,A76)=0,"ADD SERVICES","OK")))</x:f>
      </x:c>
      <x:c r="M76" s="100" t="str">
        <x:f>IF(A76="","",IF(B76&lt;&gt;"Active","NOT REQUIRED",IF(COUNTIF(Schedule!$C$5:$C$1204,A76)=0,"UNSCHEDULED",IF(H76="Custom","OK",IF(COUNTIF(Schedule!$C$5:$C$1204,A76)=IF(H76="Weekly",4,IF(H76="Fortnightly",2,1)),"OK","CHECK VISITS")))))</x:f>
      </x:c>
      <x:c r="N76" s="100" t="str">
        <x:f>IF(A76="","",IF(COUNTIF($A$5:$A$404,A76)&gt;1,"DUPLICATE CLIENT",IF(B76="Active",IF(OR(F76="",G76="",H76="",J76=""),"COMPLETE CLIENT",IF(COUNTIF(Teams!$A$5:$A$104,J76)=0,"TEAM NOT FOUND","OK")),"OK")))</x:f>
      </x:c>
    </x:row>
    <x:row r="77">
      <x:c r="L77" s="100" t="str">
        <x:f>IF(A77="","",IF(B77&lt;&gt;"Active","NOT REQUIRED",IF(COUNTIF('Client Services'!$A$5:$A$1004,A77)=0,"ADD SERVICES","OK")))</x:f>
      </x:c>
      <x:c r="M77" s="100" t="str">
        <x:f>IF(A77="","",IF(B77&lt;&gt;"Active","NOT REQUIRED",IF(COUNTIF(Schedule!$C$5:$C$1204,A77)=0,"UNSCHEDULED",IF(H77="Custom","OK",IF(COUNTIF(Schedule!$C$5:$C$1204,A77)=IF(H77="Weekly",4,IF(H77="Fortnightly",2,1)),"OK","CHECK VISITS")))))</x:f>
      </x:c>
      <x:c r="N77" s="100" t="str">
        <x:f>IF(A77="","",IF(COUNTIF($A$5:$A$404,A77)&gt;1,"DUPLICATE CLIENT",IF(B77="Active",IF(OR(F77="",G77="",H77="",J77=""),"COMPLETE CLIENT",IF(COUNTIF(Teams!$A$5:$A$104,J77)=0,"TEAM NOT FOUND","OK")),"OK")))</x:f>
      </x:c>
    </x:row>
    <x:row r="78">
      <x:c r="L78" s="100" t="str">
        <x:f>IF(A78="","",IF(B78&lt;&gt;"Active","NOT REQUIRED",IF(COUNTIF('Client Services'!$A$5:$A$1004,A78)=0,"ADD SERVICES","OK")))</x:f>
      </x:c>
      <x:c r="M78" s="100" t="str">
        <x:f>IF(A78="","",IF(B78&lt;&gt;"Active","NOT REQUIRED",IF(COUNTIF(Schedule!$C$5:$C$1204,A78)=0,"UNSCHEDULED",IF(H78="Custom","OK",IF(COUNTIF(Schedule!$C$5:$C$1204,A78)=IF(H78="Weekly",4,IF(H78="Fortnightly",2,1)),"OK","CHECK VISITS")))))</x:f>
      </x:c>
      <x:c r="N78" s="100" t="str">
        <x:f>IF(A78="","",IF(COUNTIF($A$5:$A$404,A78)&gt;1,"DUPLICATE CLIENT",IF(B78="Active",IF(OR(F78="",G78="",H78="",J78=""),"COMPLETE CLIENT",IF(COUNTIF(Teams!$A$5:$A$104,J78)=0,"TEAM NOT FOUND","OK")),"OK")))</x:f>
      </x:c>
    </x:row>
    <x:row r="79">
      <x:c r="L79" s="100" t="str">
        <x:f>IF(A79="","",IF(B79&lt;&gt;"Active","NOT REQUIRED",IF(COUNTIF('Client Services'!$A$5:$A$1004,A79)=0,"ADD SERVICES","OK")))</x:f>
      </x:c>
      <x:c r="M79" s="100" t="str">
        <x:f>IF(A79="","",IF(B79&lt;&gt;"Active","NOT REQUIRED",IF(COUNTIF(Schedule!$C$5:$C$1204,A79)=0,"UNSCHEDULED",IF(H79="Custom","OK",IF(COUNTIF(Schedule!$C$5:$C$1204,A79)=IF(H79="Weekly",4,IF(H79="Fortnightly",2,1)),"OK","CHECK VISITS")))))</x:f>
      </x:c>
      <x:c r="N79" s="100" t="str">
        <x:f>IF(A79="","",IF(COUNTIF($A$5:$A$404,A79)&gt;1,"DUPLICATE CLIENT",IF(B79="Active",IF(OR(F79="",G79="",H79="",J79=""),"COMPLETE CLIENT",IF(COUNTIF(Teams!$A$5:$A$104,J79)=0,"TEAM NOT FOUND","OK")),"OK")))</x:f>
      </x:c>
    </x:row>
    <x:row r="80">
      <x:c r="L80" s="100" t="str">
        <x:f>IF(A80="","",IF(B80&lt;&gt;"Active","NOT REQUIRED",IF(COUNTIF('Client Services'!$A$5:$A$1004,A80)=0,"ADD SERVICES","OK")))</x:f>
      </x:c>
      <x:c r="M80" s="100" t="str">
        <x:f>IF(A80="","",IF(B80&lt;&gt;"Active","NOT REQUIRED",IF(COUNTIF(Schedule!$C$5:$C$1204,A80)=0,"UNSCHEDULED",IF(H80="Custom","OK",IF(COUNTIF(Schedule!$C$5:$C$1204,A80)=IF(H80="Weekly",4,IF(H80="Fortnightly",2,1)),"OK","CHECK VISITS")))))</x:f>
      </x:c>
      <x:c r="N80" s="100" t="str">
        <x:f>IF(A80="","",IF(COUNTIF($A$5:$A$404,A80)&gt;1,"DUPLICATE CLIENT",IF(B80="Active",IF(OR(F80="",G80="",H80="",J80=""),"COMPLETE CLIENT",IF(COUNTIF(Teams!$A$5:$A$104,J80)=0,"TEAM NOT FOUND","OK")),"OK")))</x:f>
      </x:c>
    </x:row>
    <x:row r="81">
      <x:c r="L81" s="100" t="str">
        <x:f>IF(A81="","",IF(B81&lt;&gt;"Active","NOT REQUIRED",IF(COUNTIF('Client Services'!$A$5:$A$1004,A81)=0,"ADD SERVICES","OK")))</x:f>
      </x:c>
      <x:c r="M81" s="100" t="str">
        <x:f>IF(A81="","",IF(B81&lt;&gt;"Active","NOT REQUIRED",IF(COUNTIF(Schedule!$C$5:$C$1204,A81)=0,"UNSCHEDULED",IF(H81="Custom","OK",IF(COUNTIF(Schedule!$C$5:$C$1204,A81)=IF(H81="Weekly",4,IF(H81="Fortnightly",2,1)),"OK","CHECK VISITS")))))</x:f>
      </x:c>
      <x:c r="N81" s="100" t="str">
        <x:f>IF(A81="","",IF(COUNTIF($A$5:$A$404,A81)&gt;1,"DUPLICATE CLIENT",IF(B81="Active",IF(OR(F81="",G81="",H81="",J81=""),"COMPLETE CLIENT",IF(COUNTIF(Teams!$A$5:$A$104,J81)=0,"TEAM NOT FOUND","OK")),"OK")))</x:f>
      </x:c>
    </x:row>
    <x:row r="82">
      <x:c r="L82" s="100" t="str">
        <x:f>IF(A82="","",IF(B82&lt;&gt;"Active","NOT REQUIRED",IF(COUNTIF('Client Services'!$A$5:$A$1004,A82)=0,"ADD SERVICES","OK")))</x:f>
      </x:c>
      <x:c r="M82" s="100" t="str">
        <x:f>IF(A82="","",IF(B82&lt;&gt;"Active","NOT REQUIRED",IF(COUNTIF(Schedule!$C$5:$C$1204,A82)=0,"UNSCHEDULED",IF(H82="Custom","OK",IF(COUNTIF(Schedule!$C$5:$C$1204,A82)=IF(H82="Weekly",4,IF(H82="Fortnightly",2,1)),"OK","CHECK VISITS")))))</x:f>
      </x:c>
      <x:c r="N82" s="100" t="str">
        <x:f>IF(A82="","",IF(COUNTIF($A$5:$A$404,A82)&gt;1,"DUPLICATE CLIENT",IF(B82="Active",IF(OR(F82="",G82="",H82="",J82=""),"COMPLETE CLIENT",IF(COUNTIF(Teams!$A$5:$A$104,J82)=0,"TEAM NOT FOUND","OK")),"OK")))</x:f>
      </x:c>
    </x:row>
    <x:row r="83">
      <x:c r="L83" s="100" t="str">
        <x:f>IF(A83="","",IF(B83&lt;&gt;"Active","NOT REQUIRED",IF(COUNTIF('Client Services'!$A$5:$A$1004,A83)=0,"ADD SERVICES","OK")))</x:f>
      </x:c>
      <x:c r="M83" s="100" t="str">
        <x:f>IF(A83="","",IF(B83&lt;&gt;"Active","NOT REQUIRED",IF(COUNTIF(Schedule!$C$5:$C$1204,A83)=0,"UNSCHEDULED",IF(H83="Custom","OK",IF(COUNTIF(Schedule!$C$5:$C$1204,A83)=IF(H83="Weekly",4,IF(H83="Fortnightly",2,1)),"OK","CHECK VISITS")))))</x:f>
      </x:c>
      <x:c r="N83" s="100" t="str">
        <x:f>IF(A83="","",IF(COUNTIF($A$5:$A$404,A83)&gt;1,"DUPLICATE CLIENT",IF(B83="Active",IF(OR(F83="",G83="",H83="",J83=""),"COMPLETE CLIENT",IF(COUNTIF(Teams!$A$5:$A$104,J83)=0,"TEAM NOT FOUND","OK")),"OK")))</x:f>
      </x:c>
    </x:row>
    <x:row r="84">
      <x:c r="L84" s="100" t="str">
        <x:f>IF(A84="","",IF(B84&lt;&gt;"Active","NOT REQUIRED",IF(COUNTIF('Client Services'!$A$5:$A$1004,A84)=0,"ADD SERVICES","OK")))</x:f>
      </x:c>
      <x:c r="M84" s="100" t="str">
        <x:f>IF(A84="","",IF(B84&lt;&gt;"Active","NOT REQUIRED",IF(COUNTIF(Schedule!$C$5:$C$1204,A84)=0,"UNSCHEDULED",IF(H84="Custom","OK",IF(COUNTIF(Schedule!$C$5:$C$1204,A84)=IF(H84="Weekly",4,IF(H84="Fortnightly",2,1)),"OK","CHECK VISITS")))))</x:f>
      </x:c>
      <x:c r="N84" s="100" t="str">
        <x:f>IF(A84="","",IF(COUNTIF($A$5:$A$404,A84)&gt;1,"DUPLICATE CLIENT",IF(B84="Active",IF(OR(F84="",G84="",H84="",J84=""),"COMPLETE CLIENT",IF(COUNTIF(Teams!$A$5:$A$104,J84)=0,"TEAM NOT FOUND","OK")),"OK")))</x:f>
      </x:c>
    </x:row>
    <x:row r="85">
      <x:c r="L85" s="100" t="str">
        <x:f>IF(A85="","",IF(B85&lt;&gt;"Active","NOT REQUIRED",IF(COUNTIF('Client Services'!$A$5:$A$1004,A85)=0,"ADD SERVICES","OK")))</x:f>
      </x:c>
      <x:c r="M85" s="100" t="str">
        <x:f>IF(A85="","",IF(B85&lt;&gt;"Active","NOT REQUIRED",IF(COUNTIF(Schedule!$C$5:$C$1204,A85)=0,"UNSCHEDULED",IF(H85="Custom","OK",IF(COUNTIF(Schedule!$C$5:$C$1204,A85)=IF(H85="Weekly",4,IF(H85="Fortnightly",2,1)),"OK","CHECK VISITS")))))</x:f>
      </x:c>
      <x:c r="N85" s="100" t="str">
        <x:f>IF(A85="","",IF(COUNTIF($A$5:$A$404,A85)&gt;1,"DUPLICATE CLIENT",IF(B85="Active",IF(OR(F85="",G85="",H85="",J85=""),"COMPLETE CLIENT",IF(COUNTIF(Teams!$A$5:$A$104,J85)=0,"TEAM NOT FOUND","OK")),"OK")))</x:f>
      </x:c>
    </x:row>
    <x:row r="86">
      <x:c r="L86" s="100" t="str">
        <x:f>IF(A86="","",IF(B86&lt;&gt;"Active","NOT REQUIRED",IF(COUNTIF('Client Services'!$A$5:$A$1004,A86)=0,"ADD SERVICES","OK")))</x:f>
      </x:c>
      <x:c r="M86" s="100" t="str">
        <x:f>IF(A86="","",IF(B86&lt;&gt;"Active","NOT REQUIRED",IF(COUNTIF(Schedule!$C$5:$C$1204,A86)=0,"UNSCHEDULED",IF(H86="Custom","OK",IF(COUNTIF(Schedule!$C$5:$C$1204,A86)=IF(H86="Weekly",4,IF(H86="Fortnightly",2,1)),"OK","CHECK VISITS")))))</x:f>
      </x:c>
      <x:c r="N86" s="100" t="str">
        <x:f>IF(A86="","",IF(COUNTIF($A$5:$A$404,A86)&gt;1,"DUPLICATE CLIENT",IF(B86="Active",IF(OR(F86="",G86="",H86="",J86=""),"COMPLETE CLIENT",IF(COUNTIF(Teams!$A$5:$A$104,J86)=0,"TEAM NOT FOUND","OK")),"OK")))</x:f>
      </x:c>
    </x:row>
    <x:row r="87">
      <x:c r="L87" s="100" t="str">
        <x:f>IF(A87="","",IF(B87&lt;&gt;"Active","NOT REQUIRED",IF(COUNTIF('Client Services'!$A$5:$A$1004,A87)=0,"ADD SERVICES","OK")))</x:f>
      </x:c>
      <x:c r="M87" s="100" t="str">
        <x:f>IF(A87="","",IF(B87&lt;&gt;"Active","NOT REQUIRED",IF(COUNTIF(Schedule!$C$5:$C$1204,A87)=0,"UNSCHEDULED",IF(H87="Custom","OK",IF(COUNTIF(Schedule!$C$5:$C$1204,A87)=IF(H87="Weekly",4,IF(H87="Fortnightly",2,1)),"OK","CHECK VISITS")))))</x:f>
      </x:c>
      <x:c r="N87" s="100" t="str">
        <x:f>IF(A87="","",IF(COUNTIF($A$5:$A$404,A87)&gt;1,"DUPLICATE CLIENT",IF(B87="Active",IF(OR(F87="",G87="",H87="",J87=""),"COMPLETE CLIENT",IF(COUNTIF(Teams!$A$5:$A$104,J87)=0,"TEAM NOT FOUND","OK")),"OK")))</x:f>
      </x:c>
    </x:row>
    <x:row r="88">
      <x:c r="L88" s="100" t="str">
        <x:f>IF(A88="","",IF(B88&lt;&gt;"Active","NOT REQUIRED",IF(COUNTIF('Client Services'!$A$5:$A$1004,A88)=0,"ADD SERVICES","OK")))</x:f>
      </x:c>
      <x:c r="M88" s="100" t="str">
        <x:f>IF(A88="","",IF(B88&lt;&gt;"Active","NOT REQUIRED",IF(COUNTIF(Schedule!$C$5:$C$1204,A88)=0,"UNSCHEDULED",IF(H88="Custom","OK",IF(COUNTIF(Schedule!$C$5:$C$1204,A88)=IF(H88="Weekly",4,IF(H88="Fortnightly",2,1)),"OK","CHECK VISITS")))))</x:f>
      </x:c>
      <x:c r="N88" s="100" t="str">
        <x:f>IF(A88="","",IF(COUNTIF($A$5:$A$404,A88)&gt;1,"DUPLICATE CLIENT",IF(B88="Active",IF(OR(F88="",G88="",H88="",J88=""),"COMPLETE CLIENT",IF(COUNTIF(Teams!$A$5:$A$104,J88)=0,"TEAM NOT FOUND","OK")),"OK")))</x:f>
      </x:c>
    </x:row>
    <x:row r="89">
      <x:c r="L89" s="100" t="str">
        <x:f>IF(A89="","",IF(B89&lt;&gt;"Active","NOT REQUIRED",IF(COUNTIF('Client Services'!$A$5:$A$1004,A89)=0,"ADD SERVICES","OK")))</x:f>
      </x:c>
      <x:c r="M89" s="100" t="str">
        <x:f>IF(A89="","",IF(B89&lt;&gt;"Active","NOT REQUIRED",IF(COUNTIF(Schedule!$C$5:$C$1204,A89)=0,"UNSCHEDULED",IF(H89="Custom","OK",IF(COUNTIF(Schedule!$C$5:$C$1204,A89)=IF(H89="Weekly",4,IF(H89="Fortnightly",2,1)),"OK","CHECK VISITS")))))</x:f>
      </x:c>
      <x:c r="N89" s="100" t="str">
        <x:f>IF(A89="","",IF(COUNTIF($A$5:$A$404,A89)&gt;1,"DUPLICATE CLIENT",IF(B89="Active",IF(OR(F89="",G89="",H89="",J89=""),"COMPLETE CLIENT",IF(COUNTIF(Teams!$A$5:$A$104,J89)=0,"TEAM NOT FOUND","OK")),"OK")))</x:f>
      </x:c>
    </x:row>
    <x:row r="90">
      <x:c r="L90" s="100" t="str">
        <x:f>IF(A90="","",IF(B90&lt;&gt;"Active","NOT REQUIRED",IF(COUNTIF('Client Services'!$A$5:$A$1004,A90)=0,"ADD SERVICES","OK")))</x:f>
      </x:c>
      <x:c r="M90" s="100" t="str">
        <x:f>IF(A90="","",IF(B90&lt;&gt;"Active","NOT REQUIRED",IF(COUNTIF(Schedule!$C$5:$C$1204,A90)=0,"UNSCHEDULED",IF(H90="Custom","OK",IF(COUNTIF(Schedule!$C$5:$C$1204,A90)=IF(H90="Weekly",4,IF(H90="Fortnightly",2,1)),"OK","CHECK VISITS")))))</x:f>
      </x:c>
      <x:c r="N90" s="100" t="str">
        <x:f>IF(A90="","",IF(COUNTIF($A$5:$A$404,A90)&gt;1,"DUPLICATE CLIENT",IF(B90="Active",IF(OR(F90="",G90="",H90="",J90=""),"COMPLETE CLIENT",IF(COUNTIF(Teams!$A$5:$A$104,J90)=0,"TEAM NOT FOUND","OK")),"OK")))</x:f>
      </x:c>
    </x:row>
    <x:row r="91">
      <x:c r="L91" s="100" t="str">
        <x:f>IF(A91="","",IF(B91&lt;&gt;"Active","NOT REQUIRED",IF(COUNTIF('Client Services'!$A$5:$A$1004,A91)=0,"ADD SERVICES","OK")))</x:f>
      </x:c>
      <x:c r="M91" s="100" t="str">
        <x:f>IF(A91="","",IF(B91&lt;&gt;"Active","NOT REQUIRED",IF(COUNTIF(Schedule!$C$5:$C$1204,A91)=0,"UNSCHEDULED",IF(H91="Custom","OK",IF(COUNTIF(Schedule!$C$5:$C$1204,A91)=IF(H91="Weekly",4,IF(H91="Fortnightly",2,1)),"OK","CHECK VISITS")))))</x:f>
      </x:c>
      <x:c r="N91" s="100" t="str">
        <x:f>IF(A91="","",IF(COUNTIF($A$5:$A$404,A91)&gt;1,"DUPLICATE CLIENT",IF(B91="Active",IF(OR(F91="",G91="",H91="",J91=""),"COMPLETE CLIENT",IF(COUNTIF(Teams!$A$5:$A$104,J91)=0,"TEAM NOT FOUND","OK")),"OK")))</x:f>
      </x:c>
    </x:row>
    <x:row r="92">
      <x:c r="L92" s="100" t="str">
        <x:f>IF(A92="","",IF(B92&lt;&gt;"Active","NOT REQUIRED",IF(COUNTIF('Client Services'!$A$5:$A$1004,A92)=0,"ADD SERVICES","OK")))</x:f>
      </x:c>
      <x:c r="M92" s="100" t="str">
        <x:f>IF(A92="","",IF(B92&lt;&gt;"Active","NOT REQUIRED",IF(COUNTIF(Schedule!$C$5:$C$1204,A92)=0,"UNSCHEDULED",IF(H92="Custom","OK",IF(COUNTIF(Schedule!$C$5:$C$1204,A92)=IF(H92="Weekly",4,IF(H92="Fortnightly",2,1)),"OK","CHECK VISITS")))))</x:f>
      </x:c>
      <x:c r="N92" s="100" t="str">
        <x:f>IF(A92="","",IF(COUNTIF($A$5:$A$404,A92)&gt;1,"DUPLICATE CLIENT",IF(B92="Active",IF(OR(F92="",G92="",H92="",J92=""),"COMPLETE CLIENT",IF(COUNTIF(Teams!$A$5:$A$104,J92)=0,"TEAM NOT FOUND","OK")),"OK")))</x:f>
      </x:c>
    </x:row>
    <x:row r="93">
      <x:c r="L93" s="100" t="str">
        <x:f>IF(A93="","",IF(B93&lt;&gt;"Active","NOT REQUIRED",IF(COUNTIF('Client Services'!$A$5:$A$1004,A93)=0,"ADD SERVICES","OK")))</x:f>
      </x:c>
      <x:c r="M93" s="100" t="str">
        <x:f>IF(A93="","",IF(B93&lt;&gt;"Active","NOT REQUIRED",IF(COUNTIF(Schedule!$C$5:$C$1204,A93)=0,"UNSCHEDULED",IF(H93="Custom","OK",IF(COUNTIF(Schedule!$C$5:$C$1204,A93)=IF(H93="Weekly",4,IF(H93="Fortnightly",2,1)),"OK","CHECK VISITS")))))</x:f>
      </x:c>
      <x:c r="N93" s="100" t="str">
        <x:f>IF(A93="","",IF(COUNTIF($A$5:$A$404,A93)&gt;1,"DUPLICATE CLIENT",IF(B93="Active",IF(OR(F93="",G93="",H93="",J93=""),"COMPLETE CLIENT",IF(COUNTIF(Teams!$A$5:$A$104,J93)=0,"TEAM NOT FOUND","OK")),"OK")))</x:f>
      </x:c>
    </x:row>
    <x:row r="94">
      <x:c r="L94" s="100" t="str">
        <x:f>IF(A94="","",IF(B94&lt;&gt;"Active","NOT REQUIRED",IF(COUNTIF('Client Services'!$A$5:$A$1004,A94)=0,"ADD SERVICES","OK")))</x:f>
      </x:c>
      <x:c r="M94" s="100" t="str">
        <x:f>IF(A94="","",IF(B94&lt;&gt;"Active","NOT REQUIRED",IF(COUNTIF(Schedule!$C$5:$C$1204,A94)=0,"UNSCHEDULED",IF(H94="Custom","OK",IF(COUNTIF(Schedule!$C$5:$C$1204,A94)=IF(H94="Weekly",4,IF(H94="Fortnightly",2,1)),"OK","CHECK VISITS")))))</x:f>
      </x:c>
      <x:c r="N94" s="100" t="str">
        <x:f>IF(A94="","",IF(COUNTIF($A$5:$A$404,A94)&gt;1,"DUPLICATE CLIENT",IF(B94="Active",IF(OR(F94="",G94="",H94="",J94=""),"COMPLETE CLIENT",IF(COUNTIF(Teams!$A$5:$A$104,J94)=0,"TEAM NOT FOUND","OK")),"OK")))</x:f>
      </x:c>
    </x:row>
    <x:row r="95">
      <x:c r="L95" s="100" t="str">
        <x:f>IF(A95="","",IF(B95&lt;&gt;"Active","NOT REQUIRED",IF(COUNTIF('Client Services'!$A$5:$A$1004,A95)=0,"ADD SERVICES","OK")))</x:f>
      </x:c>
      <x:c r="M95" s="100" t="str">
        <x:f>IF(A95="","",IF(B95&lt;&gt;"Active","NOT REQUIRED",IF(COUNTIF(Schedule!$C$5:$C$1204,A95)=0,"UNSCHEDULED",IF(H95="Custom","OK",IF(COUNTIF(Schedule!$C$5:$C$1204,A95)=IF(H95="Weekly",4,IF(H95="Fortnightly",2,1)),"OK","CHECK VISITS")))))</x:f>
      </x:c>
      <x:c r="N95" s="100" t="str">
        <x:f>IF(A95="","",IF(COUNTIF($A$5:$A$404,A95)&gt;1,"DUPLICATE CLIENT",IF(B95="Active",IF(OR(F95="",G95="",H95="",J95=""),"COMPLETE CLIENT",IF(COUNTIF(Teams!$A$5:$A$104,J95)=0,"TEAM NOT FOUND","OK")),"OK")))</x:f>
      </x:c>
    </x:row>
    <x:row r="96">
      <x:c r="L96" s="100" t="str">
        <x:f>IF(A96="","",IF(B96&lt;&gt;"Active","NOT REQUIRED",IF(COUNTIF('Client Services'!$A$5:$A$1004,A96)=0,"ADD SERVICES","OK")))</x:f>
      </x:c>
      <x:c r="M96" s="100" t="str">
        <x:f>IF(A96="","",IF(B96&lt;&gt;"Active","NOT REQUIRED",IF(COUNTIF(Schedule!$C$5:$C$1204,A96)=0,"UNSCHEDULED",IF(H96="Custom","OK",IF(COUNTIF(Schedule!$C$5:$C$1204,A96)=IF(H96="Weekly",4,IF(H96="Fortnightly",2,1)),"OK","CHECK VISITS")))))</x:f>
      </x:c>
      <x:c r="N96" s="100" t="str">
        <x:f>IF(A96="","",IF(COUNTIF($A$5:$A$404,A96)&gt;1,"DUPLICATE CLIENT",IF(B96="Active",IF(OR(F96="",G96="",H96="",J96=""),"COMPLETE CLIENT",IF(COUNTIF(Teams!$A$5:$A$104,J96)=0,"TEAM NOT FOUND","OK")),"OK")))</x:f>
      </x:c>
    </x:row>
    <x:row r="97">
      <x:c r="L97" s="100" t="str">
        <x:f>IF(A97="","",IF(B97&lt;&gt;"Active","NOT REQUIRED",IF(COUNTIF('Client Services'!$A$5:$A$1004,A97)=0,"ADD SERVICES","OK")))</x:f>
      </x:c>
      <x:c r="M97" s="100" t="str">
        <x:f>IF(A97="","",IF(B97&lt;&gt;"Active","NOT REQUIRED",IF(COUNTIF(Schedule!$C$5:$C$1204,A97)=0,"UNSCHEDULED",IF(H97="Custom","OK",IF(COUNTIF(Schedule!$C$5:$C$1204,A97)=IF(H97="Weekly",4,IF(H97="Fortnightly",2,1)),"OK","CHECK VISITS")))))</x:f>
      </x:c>
      <x:c r="N97" s="100" t="str">
        <x:f>IF(A97="","",IF(COUNTIF($A$5:$A$404,A97)&gt;1,"DUPLICATE CLIENT",IF(B97="Active",IF(OR(F97="",G97="",H97="",J97=""),"COMPLETE CLIENT",IF(COUNTIF(Teams!$A$5:$A$104,J97)=0,"TEAM NOT FOUND","OK")),"OK")))</x:f>
      </x:c>
    </x:row>
    <x:row r="98">
      <x:c r="L98" s="100" t="str">
        <x:f>IF(A98="","",IF(B98&lt;&gt;"Active","NOT REQUIRED",IF(COUNTIF('Client Services'!$A$5:$A$1004,A98)=0,"ADD SERVICES","OK")))</x:f>
      </x:c>
      <x:c r="M98" s="100" t="str">
        <x:f>IF(A98="","",IF(B98&lt;&gt;"Active","NOT REQUIRED",IF(COUNTIF(Schedule!$C$5:$C$1204,A98)=0,"UNSCHEDULED",IF(H98="Custom","OK",IF(COUNTIF(Schedule!$C$5:$C$1204,A98)=IF(H98="Weekly",4,IF(H98="Fortnightly",2,1)),"OK","CHECK VISITS")))))</x:f>
      </x:c>
      <x:c r="N98" s="100" t="str">
        <x:f>IF(A98="","",IF(COUNTIF($A$5:$A$404,A98)&gt;1,"DUPLICATE CLIENT",IF(B98="Active",IF(OR(F98="",G98="",H98="",J98=""),"COMPLETE CLIENT",IF(COUNTIF(Teams!$A$5:$A$104,J98)=0,"TEAM NOT FOUND","OK")),"OK")))</x:f>
      </x:c>
    </x:row>
    <x:row r="99">
      <x:c r="L99" s="100" t="str">
        <x:f>IF(A99="","",IF(B99&lt;&gt;"Active","NOT REQUIRED",IF(COUNTIF('Client Services'!$A$5:$A$1004,A99)=0,"ADD SERVICES","OK")))</x:f>
      </x:c>
      <x:c r="M99" s="100" t="str">
        <x:f>IF(A99="","",IF(B99&lt;&gt;"Active","NOT REQUIRED",IF(COUNTIF(Schedule!$C$5:$C$1204,A99)=0,"UNSCHEDULED",IF(H99="Custom","OK",IF(COUNTIF(Schedule!$C$5:$C$1204,A99)=IF(H99="Weekly",4,IF(H99="Fortnightly",2,1)),"OK","CHECK VISITS")))))</x:f>
      </x:c>
      <x:c r="N99" s="100" t="str">
        <x:f>IF(A99="","",IF(COUNTIF($A$5:$A$404,A99)&gt;1,"DUPLICATE CLIENT",IF(B99="Active",IF(OR(F99="",G99="",H99="",J99=""),"COMPLETE CLIENT",IF(COUNTIF(Teams!$A$5:$A$104,J99)=0,"TEAM NOT FOUND","OK")),"OK")))</x:f>
      </x:c>
    </x:row>
    <x:row r="100">
      <x:c r="L100" s="100" t="str">
        <x:f>IF(A100="","",IF(B100&lt;&gt;"Active","NOT REQUIRED",IF(COUNTIF('Client Services'!$A$5:$A$1004,A100)=0,"ADD SERVICES","OK")))</x:f>
      </x:c>
      <x:c r="M100" s="100" t="str">
        <x:f>IF(A100="","",IF(B100&lt;&gt;"Active","NOT REQUIRED",IF(COUNTIF(Schedule!$C$5:$C$1204,A100)=0,"UNSCHEDULED",IF(H100="Custom","OK",IF(COUNTIF(Schedule!$C$5:$C$1204,A100)=IF(H100="Weekly",4,IF(H100="Fortnightly",2,1)),"OK","CHECK VISITS")))))</x:f>
      </x:c>
      <x:c r="N100" s="100" t="str">
        <x:f>IF(A100="","",IF(COUNTIF($A$5:$A$404,A100)&gt;1,"DUPLICATE CLIENT",IF(B100="Active",IF(OR(F100="",G100="",H100="",J100=""),"COMPLETE CLIENT",IF(COUNTIF(Teams!$A$5:$A$104,J100)=0,"TEAM NOT FOUND","OK")),"OK")))</x:f>
      </x:c>
    </x:row>
    <x:row r="101">
      <x:c r="L101" s="100" t="str">
        <x:f>IF(A101="","",IF(B101&lt;&gt;"Active","NOT REQUIRED",IF(COUNTIF('Client Services'!$A$5:$A$1004,A101)=0,"ADD SERVICES","OK")))</x:f>
      </x:c>
      <x:c r="M101" s="100" t="str">
        <x:f>IF(A101="","",IF(B101&lt;&gt;"Active","NOT REQUIRED",IF(COUNTIF(Schedule!$C$5:$C$1204,A101)=0,"UNSCHEDULED",IF(H101="Custom","OK",IF(COUNTIF(Schedule!$C$5:$C$1204,A101)=IF(H101="Weekly",4,IF(H101="Fortnightly",2,1)),"OK","CHECK VISITS")))))</x:f>
      </x:c>
      <x:c r="N101" s="100" t="str">
        <x:f>IF(A101="","",IF(COUNTIF($A$5:$A$404,A101)&gt;1,"DUPLICATE CLIENT",IF(B101="Active",IF(OR(F101="",G101="",H101="",J101=""),"COMPLETE CLIENT",IF(COUNTIF(Teams!$A$5:$A$104,J101)=0,"TEAM NOT FOUND","OK")),"OK")))</x:f>
      </x:c>
    </x:row>
    <x:row r="102">
      <x:c r="L102" s="100" t="str">
        <x:f>IF(A102="","",IF(B102&lt;&gt;"Active","NOT REQUIRED",IF(COUNTIF('Client Services'!$A$5:$A$1004,A102)=0,"ADD SERVICES","OK")))</x:f>
      </x:c>
      <x:c r="M102" s="100" t="str">
        <x:f>IF(A102="","",IF(B102&lt;&gt;"Active","NOT REQUIRED",IF(COUNTIF(Schedule!$C$5:$C$1204,A102)=0,"UNSCHEDULED",IF(H102="Custom","OK",IF(COUNTIF(Schedule!$C$5:$C$1204,A102)=IF(H102="Weekly",4,IF(H102="Fortnightly",2,1)),"OK","CHECK VISITS")))))</x:f>
      </x:c>
      <x:c r="N102" s="100" t="str">
        <x:f>IF(A102="","",IF(COUNTIF($A$5:$A$404,A102)&gt;1,"DUPLICATE CLIENT",IF(B102="Active",IF(OR(F102="",G102="",H102="",J102=""),"COMPLETE CLIENT",IF(COUNTIF(Teams!$A$5:$A$104,J102)=0,"TEAM NOT FOUND","OK")),"OK")))</x:f>
      </x:c>
    </x:row>
    <x:row r="103">
      <x:c r="L103" s="100" t="str">
        <x:f>IF(A103="","",IF(B103&lt;&gt;"Active","NOT REQUIRED",IF(COUNTIF('Client Services'!$A$5:$A$1004,A103)=0,"ADD SERVICES","OK")))</x:f>
      </x:c>
      <x:c r="M103" s="100" t="str">
        <x:f>IF(A103="","",IF(B103&lt;&gt;"Active","NOT REQUIRED",IF(COUNTIF(Schedule!$C$5:$C$1204,A103)=0,"UNSCHEDULED",IF(H103="Custom","OK",IF(COUNTIF(Schedule!$C$5:$C$1204,A103)=IF(H103="Weekly",4,IF(H103="Fortnightly",2,1)),"OK","CHECK VISITS")))))</x:f>
      </x:c>
      <x:c r="N103" s="100" t="str">
        <x:f>IF(A103="","",IF(COUNTIF($A$5:$A$404,A103)&gt;1,"DUPLICATE CLIENT",IF(B103="Active",IF(OR(F103="",G103="",H103="",J103=""),"COMPLETE CLIENT",IF(COUNTIF(Teams!$A$5:$A$104,J103)=0,"TEAM NOT FOUND","OK")),"OK")))</x:f>
      </x:c>
    </x:row>
    <x:row r="104">
      <x:c r="L104" s="100" t="str">
        <x:f>IF(A104="","",IF(B104&lt;&gt;"Active","NOT REQUIRED",IF(COUNTIF('Client Services'!$A$5:$A$1004,A104)=0,"ADD SERVICES","OK")))</x:f>
      </x:c>
      <x:c r="M104" s="100" t="str">
        <x:f>IF(A104="","",IF(B104&lt;&gt;"Active","NOT REQUIRED",IF(COUNTIF(Schedule!$C$5:$C$1204,A104)=0,"UNSCHEDULED",IF(H104="Custom","OK",IF(COUNTIF(Schedule!$C$5:$C$1204,A104)=IF(H104="Weekly",4,IF(H104="Fortnightly",2,1)),"OK","CHECK VISITS")))))</x:f>
      </x:c>
      <x:c r="N104" s="100" t="str">
        <x:f>IF(A104="","",IF(COUNTIF($A$5:$A$404,A104)&gt;1,"DUPLICATE CLIENT",IF(B104="Active",IF(OR(F104="",G104="",H104="",J104=""),"COMPLETE CLIENT",IF(COUNTIF(Teams!$A$5:$A$104,J104)=0,"TEAM NOT FOUND","OK")),"OK")))</x:f>
      </x:c>
    </x:row>
    <x:row r="105">
      <x:c r="L105" s="100" t="str">
        <x:f>IF(A105="","",IF(B105&lt;&gt;"Active","NOT REQUIRED",IF(COUNTIF('Client Services'!$A$5:$A$1004,A105)=0,"ADD SERVICES","OK")))</x:f>
      </x:c>
      <x:c r="M105" s="100" t="str">
        <x:f>IF(A105="","",IF(B105&lt;&gt;"Active","NOT REQUIRED",IF(COUNTIF(Schedule!$C$5:$C$1204,A105)=0,"UNSCHEDULED",IF(H105="Custom","OK",IF(COUNTIF(Schedule!$C$5:$C$1204,A105)=IF(H105="Weekly",4,IF(H105="Fortnightly",2,1)),"OK","CHECK VISITS")))))</x:f>
      </x:c>
      <x:c r="N105" s="100" t="str">
        <x:f>IF(A105="","",IF(COUNTIF($A$5:$A$404,A105)&gt;1,"DUPLICATE CLIENT",IF(B105="Active",IF(OR(F105="",G105="",H105="",J105=""),"COMPLETE CLIENT",IF(COUNTIF(Teams!$A$5:$A$104,J105)=0,"TEAM NOT FOUND","OK")),"OK")))</x:f>
      </x:c>
    </x:row>
    <x:row r="106">
      <x:c r="L106" s="100" t="str">
        <x:f>IF(A106="","",IF(B106&lt;&gt;"Active","NOT REQUIRED",IF(COUNTIF('Client Services'!$A$5:$A$1004,A106)=0,"ADD SERVICES","OK")))</x:f>
      </x:c>
      <x:c r="M106" s="100" t="str">
        <x:f>IF(A106="","",IF(B106&lt;&gt;"Active","NOT REQUIRED",IF(COUNTIF(Schedule!$C$5:$C$1204,A106)=0,"UNSCHEDULED",IF(H106="Custom","OK",IF(COUNTIF(Schedule!$C$5:$C$1204,A106)=IF(H106="Weekly",4,IF(H106="Fortnightly",2,1)),"OK","CHECK VISITS")))))</x:f>
      </x:c>
      <x:c r="N106" s="100" t="str">
        <x:f>IF(A106="","",IF(COUNTIF($A$5:$A$404,A106)&gt;1,"DUPLICATE CLIENT",IF(B106="Active",IF(OR(F106="",G106="",H106="",J106=""),"COMPLETE CLIENT",IF(COUNTIF(Teams!$A$5:$A$104,J106)=0,"TEAM NOT FOUND","OK")),"OK")))</x:f>
      </x:c>
    </x:row>
    <x:row r="107">
      <x:c r="L107" s="100" t="str">
        <x:f>IF(A107="","",IF(B107&lt;&gt;"Active","NOT REQUIRED",IF(COUNTIF('Client Services'!$A$5:$A$1004,A107)=0,"ADD SERVICES","OK")))</x:f>
      </x:c>
      <x:c r="M107" s="100" t="str">
        <x:f>IF(A107="","",IF(B107&lt;&gt;"Active","NOT REQUIRED",IF(COUNTIF(Schedule!$C$5:$C$1204,A107)=0,"UNSCHEDULED",IF(H107="Custom","OK",IF(COUNTIF(Schedule!$C$5:$C$1204,A107)=IF(H107="Weekly",4,IF(H107="Fortnightly",2,1)),"OK","CHECK VISITS")))))</x:f>
      </x:c>
      <x:c r="N107" s="100" t="str">
        <x:f>IF(A107="","",IF(COUNTIF($A$5:$A$404,A107)&gt;1,"DUPLICATE CLIENT",IF(B107="Active",IF(OR(F107="",G107="",H107="",J107=""),"COMPLETE CLIENT",IF(COUNTIF(Teams!$A$5:$A$104,J107)=0,"TEAM NOT FOUND","OK")),"OK")))</x:f>
      </x:c>
    </x:row>
    <x:row r="108">
      <x:c r="L108" s="100" t="str">
        <x:f>IF(A108="","",IF(B108&lt;&gt;"Active","NOT REQUIRED",IF(COUNTIF('Client Services'!$A$5:$A$1004,A108)=0,"ADD SERVICES","OK")))</x:f>
      </x:c>
      <x:c r="M108" s="100" t="str">
        <x:f>IF(A108="","",IF(B108&lt;&gt;"Active","NOT REQUIRED",IF(COUNTIF(Schedule!$C$5:$C$1204,A108)=0,"UNSCHEDULED",IF(H108="Custom","OK",IF(COUNTIF(Schedule!$C$5:$C$1204,A108)=IF(H108="Weekly",4,IF(H108="Fortnightly",2,1)),"OK","CHECK VISITS")))))</x:f>
      </x:c>
      <x:c r="N108" s="100" t="str">
        <x:f>IF(A108="","",IF(COUNTIF($A$5:$A$404,A108)&gt;1,"DUPLICATE CLIENT",IF(B108="Active",IF(OR(F108="",G108="",H108="",J108=""),"COMPLETE CLIENT",IF(COUNTIF(Teams!$A$5:$A$104,J108)=0,"TEAM NOT FOUND","OK")),"OK")))</x:f>
      </x:c>
    </x:row>
    <x:row r="109">
      <x:c r="L109" s="100" t="str">
        <x:f>IF(A109="","",IF(B109&lt;&gt;"Active","NOT REQUIRED",IF(COUNTIF('Client Services'!$A$5:$A$1004,A109)=0,"ADD SERVICES","OK")))</x:f>
      </x:c>
      <x:c r="M109" s="100" t="str">
        <x:f>IF(A109="","",IF(B109&lt;&gt;"Active","NOT REQUIRED",IF(COUNTIF(Schedule!$C$5:$C$1204,A109)=0,"UNSCHEDULED",IF(H109="Custom","OK",IF(COUNTIF(Schedule!$C$5:$C$1204,A109)=IF(H109="Weekly",4,IF(H109="Fortnightly",2,1)),"OK","CHECK VISITS")))))</x:f>
      </x:c>
      <x:c r="N109" s="100" t="str">
        <x:f>IF(A109="","",IF(COUNTIF($A$5:$A$404,A109)&gt;1,"DUPLICATE CLIENT",IF(B109="Active",IF(OR(F109="",G109="",H109="",J109=""),"COMPLETE CLIENT",IF(COUNTIF(Teams!$A$5:$A$104,J109)=0,"TEAM NOT FOUND","OK")),"OK")))</x:f>
      </x:c>
    </x:row>
    <x:row r="110">
      <x:c r="L110" s="100" t="str">
        <x:f>IF(A110="","",IF(B110&lt;&gt;"Active","NOT REQUIRED",IF(COUNTIF('Client Services'!$A$5:$A$1004,A110)=0,"ADD SERVICES","OK")))</x:f>
      </x:c>
      <x:c r="M110" s="100" t="str">
        <x:f>IF(A110="","",IF(B110&lt;&gt;"Active","NOT REQUIRED",IF(COUNTIF(Schedule!$C$5:$C$1204,A110)=0,"UNSCHEDULED",IF(H110="Custom","OK",IF(COUNTIF(Schedule!$C$5:$C$1204,A110)=IF(H110="Weekly",4,IF(H110="Fortnightly",2,1)),"OK","CHECK VISITS")))))</x:f>
      </x:c>
      <x:c r="N110" s="100" t="str">
        <x:f>IF(A110="","",IF(COUNTIF($A$5:$A$404,A110)&gt;1,"DUPLICATE CLIENT",IF(B110="Active",IF(OR(F110="",G110="",H110="",J110=""),"COMPLETE CLIENT",IF(COUNTIF(Teams!$A$5:$A$104,J110)=0,"TEAM NOT FOUND","OK")),"OK")))</x:f>
      </x:c>
    </x:row>
    <x:row r="111">
      <x:c r="L111" s="100" t="str">
        <x:f>IF(A111="","",IF(B111&lt;&gt;"Active","NOT REQUIRED",IF(COUNTIF('Client Services'!$A$5:$A$1004,A111)=0,"ADD SERVICES","OK")))</x:f>
      </x:c>
      <x:c r="M111" s="100" t="str">
        <x:f>IF(A111="","",IF(B111&lt;&gt;"Active","NOT REQUIRED",IF(COUNTIF(Schedule!$C$5:$C$1204,A111)=0,"UNSCHEDULED",IF(H111="Custom","OK",IF(COUNTIF(Schedule!$C$5:$C$1204,A111)=IF(H111="Weekly",4,IF(H111="Fortnightly",2,1)),"OK","CHECK VISITS")))))</x:f>
      </x:c>
      <x:c r="N111" s="100" t="str">
        <x:f>IF(A111="","",IF(COUNTIF($A$5:$A$404,A111)&gt;1,"DUPLICATE CLIENT",IF(B111="Active",IF(OR(F111="",G111="",H111="",J111=""),"COMPLETE CLIENT",IF(COUNTIF(Teams!$A$5:$A$104,J111)=0,"TEAM NOT FOUND","OK")),"OK")))</x:f>
      </x:c>
    </x:row>
    <x:row r="112">
      <x:c r="L112" s="100" t="str">
        <x:f>IF(A112="","",IF(B112&lt;&gt;"Active","NOT REQUIRED",IF(COUNTIF('Client Services'!$A$5:$A$1004,A112)=0,"ADD SERVICES","OK")))</x:f>
      </x:c>
      <x:c r="M112" s="100" t="str">
        <x:f>IF(A112="","",IF(B112&lt;&gt;"Active","NOT REQUIRED",IF(COUNTIF(Schedule!$C$5:$C$1204,A112)=0,"UNSCHEDULED",IF(H112="Custom","OK",IF(COUNTIF(Schedule!$C$5:$C$1204,A112)=IF(H112="Weekly",4,IF(H112="Fortnightly",2,1)),"OK","CHECK VISITS")))))</x:f>
      </x:c>
      <x:c r="N112" s="100" t="str">
        <x:f>IF(A112="","",IF(COUNTIF($A$5:$A$404,A112)&gt;1,"DUPLICATE CLIENT",IF(B112="Active",IF(OR(F112="",G112="",H112="",J112=""),"COMPLETE CLIENT",IF(COUNTIF(Teams!$A$5:$A$104,J112)=0,"TEAM NOT FOUND","OK")),"OK")))</x:f>
      </x:c>
    </x:row>
    <x:row r="113">
      <x:c r="L113" s="100" t="str">
        <x:f>IF(A113="","",IF(B113&lt;&gt;"Active","NOT REQUIRED",IF(COUNTIF('Client Services'!$A$5:$A$1004,A113)=0,"ADD SERVICES","OK")))</x:f>
      </x:c>
      <x:c r="M113" s="100" t="str">
        <x:f>IF(A113="","",IF(B113&lt;&gt;"Active","NOT REQUIRED",IF(COUNTIF(Schedule!$C$5:$C$1204,A113)=0,"UNSCHEDULED",IF(H113="Custom","OK",IF(COUNTIF(Schedule!$C$5:$C$1204,A113)=IF(H113="Weekly",4,IF(H113="Fortnightly",2,1)),"OK","CHECK VISITS")))))</x:f>
      </x:c>
      <x:c r="N113" s="100" t="str">
        <x:f>IF(A113="","",IF(COUNTIF($A$5:$A$404,A113)&gt;1,"DUPLICATE CLIENT",IF(B113="Active",IF(OR(F113="",G113="",H113="",J113=""),"COMPLETE CLIENT",IF(COUNTIF(Teams!$A$5:$A$104,J113)=0,"TEAM NOT FOUND","OK")),"OK")))</x:f>
      </x:c>
    </x:row>
    <x:row r="114">
      <x:c r="L114" s="100" t="str">
        <x:f>IF(A114="","",IF(B114&lt;&gt;"Active","NOT REQUIRED",IF(COUNTIF('Client Services'!$A$5:$A$1004,A114)=0,"ADD SERVICES","OK")))</x:f>
      </x:c>
      <x:c r="M114" s="100" t="str">
        <x:f>IF(A114="","",IF(B114&lt;&gt;"Active","NOT REQUIRED",IF(COUNTIF(Schedule!$C$5:$C$1204,A114)=0,"UNSCHEDULED",IF(H114="Custom","OK",IF(COUNTIF(Schedule!$C$5:$C$1204,A114)=IF(H114="Weekly",4,IF(H114="Fortnightly",2,1)),"OK","CHECK VISITS")))))</x:f>
      </x:c>
      <x:c r="N114" s="100" t="str">
        <x:f>IF(A114="","",IF(COUNTIF($A$5:$A$404,A114)&gt;1,"DUPLICATE CLIENT",IF(B114="Active",IF(OR(F114="",G114="",H114="",J114=""),"COMPLETE CLIENT",IF(COUNTIF(Teams!$A$5:$A$104,J114)=0,"TEAM NOT FOUND","OK")),"OK")))</x:f>
      </x:c>
    </x:row>
    <x:row r="115">
      <x:c r="L115" s="100" t="str">
        <x:f>IF(A115="","",IF(B115&lt;&gt;"Active","NOT REQUIRED",IF(COUNTIF('Client Services'!$A$5:$A$1004,A115)=0,"ADD SERVICES","OK")))</x:f>
      </x:c>
      <x:c r="M115" s="100" t="str">
        <x:f>IF(A115="","",IF(B115&lt;&gt;"Active","NOT REQUIRED",IF(COUNTIF(Schedule!$C$5:$C$1204,A115)=0,"UNSCHEDULED",IF(H115="Custom","OK",IF(COUNTIF(Schedule!$C$5:$C$1204,A115)=IF(H115="Weekly",4,IF(H115="Fortnightly",2,1)),"OK","CHECK VISITS")))))</x:f>
      </x:c>
      <x:c r="N115" s="100" t="str">
        <x:f>IF(A115="","",IF(COUNTIF($A$5:$A$404,A115)&gt;1,"DUPLICATE CLIENT",IF(B115="Active",IF(OR(F115="",G115="",H115="",J115=""),"COMPLETE CLIENT",IF(COUNTIF(Teams!$A$5:$A$104,J115)=0,"TEAM NOT FOUND","OK")),"OK")))</x:f>
      </x:c>
    </x:row>
    <x:row r="116">
      <x:c r="L116" s="100" t="str">
        <x:f>IF(A116="","",IF(B116&lt;&gt;"Active","NOT REQUIRED",IF(COUNTIF('Client Services'!$A$5:$A$1004,A116)=0,"ADD SERVICES","OK")))</x:f>
      </x:c>
      <x:c r="M116" s="100" t="str">
        <x:f>IF(A116="","",IF(B116&lt;&gt;"Active","NOT REQUIRED",IF(COUNTIF(Schedule!$C$5:$C$1204,A116)=0,"UNSCHEDULED",IF(H116="Custom","OK",IF(COUNTIF(Schedule!$C$5:$C$1204,A116)=IF(H116="Weekly",4,IF(H116="Fortnightly",2,1)),"OK","CHECK VISITS")))))</x:f>
      </x:c>
      <x:c r="N116" s="100" t="str">
        <x:f>IF(A116="","",IF(COUNTIF($A$5:$A$404,A116)&gt;1,"DUPLICATE CLIENT",IF(B116="Active",IF(OR(F116="",G116="",H116="",J116=""),"COMPLETE CLIENT",IF(COUNTIF(Teams!$A$5:$A$104,J116)=0,"TEAM NOT FOUND","OK")),"OK")))</x:f>
      </x:c>
    </x:row>
    <x:row r="117">
      <x:c r="L117" s="100" t="str">
        <x:f>IF(A117="","",IF(B117&lt;&gt;"Active","NOT REQUIRED",IF(COUNTIF('Client Services'!$A$5:$A$1004,A117)=0,"ADD SERVICES","OK")))</x:f>
      </x:c>
      <x:c r="M117" s="100" t="str">
        <x:f>IF(A117="","",IF(B117&lt;&gt;"Active","NOT REQUIRED",IF(COUNTIF(Schedule!$C$5:$C$1204,A117)=0,"UNSCHEDULED",IF(H117="Custom","OK",IF(COUNTIF(Schedule!$C$5:$C$1204,A117)=IF(H117="Weekly",4,IF(H117="Fortnightly",2,1)),"OK","CHECK VISITS")))))</x:f>
      </x:c>
      <x:c r="N117" s="100" t="str">
        <x:f>IF(A117="","",IF(COUNTIF($A$5:$A$404,A117)&gt;1,"DUPLICATE CLIENT",IF(B117="Active",IF(OR(F117="",G117="",H117="",J117=""),"COMPLETE CLIENT",IF(COUNTIF(Teams!$A$5:$A$104,J117)=0,"TEAM NOT FOUND","OK")),"OK")))</x:f>
      </x:c>
    </x:row>
    <x:row r="118">
      <x:c r="L118" s="100" t="str">
        <x:f>IF(A118="","",IF(B118&lt;&gt;"Active","NOT REQUIRED",IF(COUNTIF('Client Services'!$A$5:$A$1004,A118)=0,"ADD SERVICES","OK")))</x:f>
      </x:c>
      <x:c r="M118" s="100" t="str">
        <x:f>IF(A118="","",IF(B118&lt;&gt;"Active","NOT REQUIRED",IF(COUNTIF(Schedule!$C$5:$C$1204,A118)=0,"UNSCHEDULED",IF(H118="Custom","OK",IF(COUNTIF(Schedule!$C$5:$C$1204,A118)=IF(H118="Weekly",4,IF(H118="Fortnightly",2,1)),"OK","CHECK VISITS")))))</x:f>
      </x:c>
      <x:c r="N118" s="100" t="str">
        <x:f>IF(A118="","",IF(COUNTIF($A$5:$A$404,A118)&gt;1,"DUPLICATE CLIENT",IF(B118="Active",IF(OR(F118="",G118="",H118="",J118=""),"COMPLETE CLIENT",IF(COUNTIF(Teams!$A$5:$A$104,J118)=0,"TEAM NOT FOUND","OK")),"OK")))</x:f>
      </x:c>
    </x:row>
    <x:row r="119">
      <x:c r="L119" s="100" t="str">
        <x:f>IF(A119="","",IF(B119&lt;&gt;"Active","NOT REQUIRED",IF(COUNTIF('Client Services'!$A$5:$A$1004,A119)=0,"ADD SERVICES","OK")))</x:f>
      </x:c>
      <x:c r="M119" s="100" t="str">
        <x:f>IF(A119="","",IF(B119&lt;&gt;"Active","NOT REQUIRED",IF(COUNTIF(Schedule!$C$5:$C$1204,A119)=0,"UNSCHEDULED",IF(H119="Custom","OK",IF(COUNTIF(Schedule!$C$5:$C$1204,A119)=IF(H119="Weekly",4,IF(H119="Fortnightly",2,1)),"OK","CHECK VISITS")))))</x:f>
      </x:c>
      <x:c r="N119" s="100" t="str">
        <x:f>IF(A119="","",IF(COUNTIF($A$5:$A$404,A119)&gt;1,"DUPLICATE CLIENT",IF(B119="Active",IF(OR(F119="",G119="",H119="",J119=""),"COMPLETE CLIENT",IF(COUNTIF(Teams!$A$5:$A$104,J119)=0,"TEAM NOT FOUND","OK")),"OK")))</x:f>
      </x:c>
    </x:row>
    <x:row r="120">
      <x:c r="L120" s="100" t="str">
        <x:f>IF(A120="","",IF(B120&lt;&gt;"Active","NOT REQUIRED",IF(COUNTIF('Client Services'!$A$5:$A$1004,A120)=0,"ADD SERVICES","OK")))</x:f>
      </x:c>
      <x:c r="M120" s="100" t="str">
        <x:f>IF(A120="","",IF(B120&lt;&gt;"Active","NOT REQUIRED",IF(COUNTIF(Schedule!$C$5:$C$1204,A120)=0,"UNSCHEDULED",IF(H120="Custom","OK",IF(COUNTIF(Schedule!$C$5:$C$1204,A120)=IF(H120="Weekly",4,IF(H120="Fortnightly",2,1)),"OK","CHECK VISITS")))))</x:f>
      </x:c>
      <x:c r="N120" s="100" t="str">
        <x:f>IF(A120="","",IF(COUNTIF($A$5:$A$404,A120)&gt;1,"DUPLICATE CLIENT",IF(B120="Active",IF(OR(F120="",G120="",H120="",J120=""),"COMPLETE CLIENT",IF(COUNTIF(Teams!$A$5:$A$104,J120)=0,"TEAM NOT FOUND","OK")),"OK")))</x:f>
      </x:c>
    </x:row>
    <x:row r="121">
      <x:c r="L121" s="100" t="str">
        <x:f>IF(A121="","",IF(B121&lt;&gt;"Active","NOT REQUIRED",IF(COUNTIF('Client Services'!$A$5:$A$1004,A121)=0,"ADD SERVICES","OK")))</x:f>
      </x:c>
      <x:c r="M121" s="100" t="str">
        <x:f>IF(A121="","",IF(B121&lt;&gt;"Active","NOT REQUIRED",IF(COUNTIF(Schedule!$C$5:$C$1204,A121)=0,"UNSCHEDULED",IF(H121="Custom","OK",IF(COUNTIF(Schedule!$C$5:$C$1204,A121)=IF(H121="Weekly",4,IF(H121="Fortnightly",2,1)),"OK","CHECK VISITS")))))</x:f>
      </x:c>
      <x:c r="N121" s="100" t="str">
        <x:f>IF(A121="","",IF(COUNTIF($A$5:$A$404,A121)&gt;1,"DUPLICATE CLIENT",IF(B121="Active",IF(OR(F121="",G121="",H121="",J121=""),"COMPLETE CLIENT",IF(COUNTIF(Teams!$A$5:$A$104,J121)=0,"TEAM NOT FOUND","OK")),"OK")))</x:f>
      </x:c>
    </x:row>
    <x:row r="122">
      <x:c r="L122" s="100" t="str">
        <x:f>IF(A122="","",IF(B122&lt;&gt;"Active","NOT REQUIRED",IF(COUNTIF('Client Services'!$A$5:$A$1004,A122)=0,"ADD SERVICES","OK")))</x:f>
      </x:c>
      <x:c r="M122" s="100" t="str">
        <x:f>IF(A122="","",IF(B122&lt;&gt;"Active","NOT REQUIRED",IF(COUNTIF(Schedule!$C$5:$C$1204,A122)=0,"UNSCHEDULED",IF(H122="Custom","OK",IF(COUNTIF(Schedule!$C$5:$C$1204,A122)=IF(H122="Weekly",4,IF(H122="Fortnightly",2,1)),"OK","CHECK VISITS")))))</x:f>
      </x:c>
      <x:c r="N122" s="100" t="str">
        <x:f>IF(A122="","",IF(COUNTIF($A$5:$A$404,A122)&gt;1,"DUPLICATE CLIENT",IF(B122="Active",IF(OR(F122="",G122="",H122="",J122=""),"COMPLETE CLIENT",IF(COUNTIF(Teams!$A$5:$A$104,J122)=0,"TEAM NOT FOUND","OK")),"OK")))</x:f>
      </x:c>
    </x:row>
    <x:row r="123">
      <x:c r="L123" s="100" t="str">
        <x:f>IF(A123="","",IF(B123&lt;&gt;"Active","NOT REQUIRED",IF(COUNTIF('Client Services'!$A$5:$A$1004,A123)=0,"ADD SERVICES","OK")))</x:f>
      </x:c>
      <x:c r="M123" s="100" t="str">
        <x:f>IF(A123="","",IF(B123&lt;&gt;"Active","NOT REQUIRED",IF(COUNTIF(Schedule!$C$5:$C$1204,A123)=0,"UNSCHEDULED",IF(H123="Custom","OK",IF(COUNTIF(Schedule!$C$5:$C$1204,A123)=IF(H123="Weekly",4,IF(H123="Fortnightly",2,1)),"OK","CHECK VISITS")))))</x:f>
      </x:c>
      <x:c r="N123" s="100" t="str">
        <x:f>IF(A123="","",IF(COUNTIF($A$5:$A$404,A123)&gt;1,"DUPLICATE CLIENT",IF(B123="Active",IF(OR(F123="",G123="",H123="",J123=""),"COMPLETE CLIENT",IF(COUNTIF(Teams!$A$5:$A$104,J123)=0,"TEAM NOT FOUND","OK")),"OK")))</x:f>
      </x:c>
    </x:row>
    <x:row r="124">
      <x:c r="L124" s="100" t="str">
        <x:f>IF(A124="","",IF(B124&lt;&gt;"Active","NOT REQUIRED",IF(COUNTIF('Client Services'!$A$5:$A$1004,A124)=0,"ADD SERVICES","OK")))</x:f>
      </x:c>
      <x:c r="M124" s="100" t="str">
        <x:f>IF(A124="","",IF(B124&lt;&gt;"Active","NOT REQUIRED",IF(COUNTIF(Schedule!$C$5:$C$1204,A124)=0,"UNSCHEDULED",IF(H124="Custom","OK",IF(COUNTIF(Schedule!$C$5:$C$1204,A124)=IF(H124="Weekly",4,IF(H124="Fortnightly",2,1)),"OK","CHECK VISITS")))))</x:f>
      </x:c>
      <x:c r="N124" s="100" t="str">
        <x:f>IF(A124="","",IF(COUNTIF($A$5:$A$404,A124)&gt;1,"DUPLICATE CLIENT",IF(B124="Active",IF(OR(F124="",G124="",H124="",J124=""),"COMPLETE CLIENT",IF(COUNTIF(Teams!$A$5:$A$104,J124)=0,"TEAM NOT FOUND","OK")),"OK")))</x:f>
      </x:c>
    </x:row>
    <x:row r="125">
      <x:c r="L125" s="100" t="str">
        <x:f>IF(A125="","",IF(B125&lt;&gt;"Active","NOT REQUIRED",IF(COUNTIF('Client Services'!$A$5:$A$1004,A125)=0,"ADD SERVICES","OK")))</x:f>
      </x:c>
      <x:c r="M125" s="100" t="str">
        <x:f>IF(A125="","",IF(B125&lt;&gt;"Active","NOT REQUIRED",IF(COUNTIF(Schedule!$C$5:$C$1204,A125)=0,"UNSCHEDULED",IF(H125="Custom","OK",IF(COUNTIF(Schedule!$C$5:$C$1204,A125)=IF(H125="Weekly",4,IF(H125="Fortnightly",2,1)),"OK","CHECK VISITS")))))</x:f>
      </x:c>
      <x:c r="N125" s="100" t="str">
        <x:f>IF(A125="","",IF(COUNTIF($A$5:$A$404,A125)&gt;1,"DUPLICATE CLIENT",IF(B125="Active",IF(OR(F125="",G125="",H125="",J125=""),"COMPLETE CLIENT",IF(COUNTIF(Teams!$A$5:$A$104,J125)=0,"TEAM NOT FOUND","OK")),"OK")))</x:f>
      </x:c>
    </x:row>
    <x:row r="126">
      <x:c r="L126" s="100" t="str">
        <x:f>IF(A126="","",IF(B126&lt;&gt;"Active","NOT REQUIRED",IF(COUNTIF('Client Services'!$A$5:$A$1004,A126)=0,"ADD SERVICES","OK")))</x:f>
      </x:c>
      <x:c r="M126" s="100" t="str">
        <x:f>IF(A126="","",IF(B126&lt;&gt;"Active","NOT REQUIRED",IF(COUNTIF(Schedule!$C$5:$C$1204,A126)=0,"UNSCHEDULED",IF(H126="Custom","OK",IF(COUNTIF(Schedule!$C$5:$C$1204,A126)=IF(H126="Weekly",4,IF(H126="Fortnightly",2,1)),"OK","CHECK VISITS")))))</x:f>
      </x:c>
      <x:c r="N126" s="100" t="str">
        <x:f>IF(A126="","",IF(COUNTIF($A$5:$A$404,A126)&gt;1,"DUPLICATE CLIENT",IF(B126="Active",IF(OR(F126="",G126="",H126="",J126=""),"COMPLETE CLIENT",IF(COUNTIF(Teams!$A$5:$A$104,J126)=0,"TEAM NOT FOUND","OK")),"OK")))</x:f>
      </x:c>
    </x:row>
    <x:row r="127">
      <x:c r="L127" s="100" t="str">
        <x:f>IF(A127="","",IF(B127&lt;&gt;"Active","NOT REQUIRED",IF(COUNTIF('Client Services'!$A$5:$A$1004,A127)=0,"ADD SERVICES","OK")))</x:f>
      </x:c>
      <x:c r="M127" s="100" t="str">
        <x:f>IF(A127="","",IF(B127&lt;&gt;"Active","NOT REQUIRED",IF(COUNTIF(Schedule!$C$5:$C$1204,A127)=0,"UNSCHEDULED",IF(H127="Custom","OK",IF(COUNTIF(Schedule!$C$5:$C$1204,A127)=IF(H127="Weekly",4,IF(H127="Fortnightly",2,1)),"OK","CHECK VISITS")))))</x:f>
      </x:c>
      <x:c r="N127" s="100" t="str">
        <x:f>IF(A127="","",IF(COUNTIF($A$5:$A$404,A127)&gt;1,"DUPLICATE CLIENT",IF(B127="Active",IF(OR(F127="",G127="",H127="",J127=""),"COMPLETE CLIENT",IF(COUNTIF(Teams!$A$5:$A$104,J127)=0,"TEAM NOT FOUND","OK")),"OK")))</x:f>
      </x:c>
    </x:row>
    <x:row r="128">
      <x:c r="L128" s="100" t="str">
        <x:f>IF(A128="","",IF(B128&lt;&gt;"Active","NOT REQUIRED",IF(COUNTIF('Client Services'!$A$5:$A$1004,A128)=0,"ADD SERVICES","OK")))</x:f>
      </x:c>
      <x:c r="M128" s="100" t="str">
        <x:f>IF(A128="","",IF(B128&lt;&gt;"Active","NOT REQUIRED",IF(COUNTIF(Schedule!$C$5:$C$1204,A128)=0,"UNSCHEDULED",IF(H128="Custom","OK",IF(COUNTIF(Schedule!$C$5:$C$1204,A128)=IF(H128="Weekly",4,IF(H128="Fortnightly",2,1)),"OK","CHECK VISITS")))))</x:f>
      </x:c>
      <x:c r="N128" s="100" t="str">
        <x:f>IF(A128="","",IF(COUNTIF($A$5:$A$404,A128)&gt;1,"DUPLICATE CLIENT",IF(B128="Active",IF(OR(F128="",G128="",H128="",J128=""),"COMPLETE CLIENT",IF(COUNTIF(Teams!$A$5:$A$104,J128)=0,"TEAM NOT FOUND","OK")),"OK")))</x:f>
      </x:c>
    </x:row>
    <x:row r="129">
      <x:c r="L129" s="100" t="str">
        <x:f>IF(A129="","",IF(B129&lt;&gt;"Active","NOT REQUIRED",IF(COUNTIF('Client Services'!$A$5:$A$1004,A129)=0,"ADD SERVICES","OK")))</x:f>
      </x:c>
      <x:c r="M129" s="100" t="str">
        <x:f>IF(A129="","",IF(B129&lt;&gt;"Active","NOT REQUIRED",IF(COUNTIF(Schedule!$C$5:$C$1204,A129)=0,"UNSCHEDULED",IF(H129="Custom","OK",IF(COUNTIF(Schedule!$C$5:$C$1204,A129)=IF(H129="Weekly",4,IF(H129="Fortnightly",2,1)),"OK","CHECK VISITS")))))</x:f>
      </x:c>
      <x:c r="N129" s="100" t="str">
        <x:f>IF(A129="","",IF(COUNTIF($A$5:$A$404,A129)&gt;1,"DUPLICATE CLIENT",IF(B129="Active",IF(OR(F129="",G129="",H129="",J129=""),"COMPLETE CLIENT",IF(COUNTIF(Teams!$A$5:$A$104,J129)=0,"TEAM NOT FOUND","OK")),"OK")))</x:f>
      </x:c>
    </x:row>
    <x:row r="130">
      <x:c r="L130" s="100" t="str">
        <x:f>IF(A130="","",IF(B130&lt;&gt;"Active","NOT REQUIRED",IF(COUNTIF('Client Services'!$A$5:$A$1004,A130)=0,"ADD SERVICES","OK")))</x:f>
      </x:c>
      <x:c r="M130" s="100" t="str">
        <x:f>IF(A130="","",IF(B130&lt;&gt;"Active","NOT REQUIRED",IF(COUNTIF(Schedule!$C$5:$C$1204,A130)=0,"UNSCHEDULED",IF(H130="Custom","OK",IF(COUNTIF(Schedule!$C$5:$C$1204,A130)=IF(H130="Weekly",4,IF(H130="Fortnightly",2,1)),"OK","CHECK VISITS")))))</x:f>
      </x:c>
      <x:c r="N130" s="100" t="str">
        <x:f>IF(A130="","",IF(COUNTIF($A$5:$A$404,A130)&gt;1,"DUPLICATE CLIENT",IF(B130="Active",IF(OR(F130="",G130="",H130="",J130=""),"COMPLETE CLIENT",IF(COUNTIF(Teams!$A$5:$A$104,J130)=0,"TEAM NOT FOUND","OK")),"OK")))</x:f>
      </x:c>
    </x:row>
    <x:row r="131">
      <x:c r="L131" s="100" t="str">
        <x:f>IF(A131="","",IF(B131&lt;&gt;"Active","NOT REQUIRED",IF(COUNTIF('Client Services'!$A$5:$A$1004,A131)=0,"ADD SERVICES","OK")))</x:f>
      </x:c>
      <x:c r="M131" s="100" t="str">
        <x:f>IF(A131="","",IF(B131&lt;&gt;"Active","NOT REQUIRED",IF(COUNTIF(Schedule!$C$5:$C$1204,A131)=0,"UNSCHEDULED",IF(H131="Custom","OK",IF(COUNTIF(Schedule!$C$5:$C$1204,A131)=IF(H131="Weekly",4,IF(H131="Fortnightly",2,1)),"OK","CHECK VISITS")))))</x:f>
      </x:c>
      <x:c r="N131" s="100" t="str">
        <x:f>IF(A131="","",IF(COUNTIF($A$5:$A$404,A131)&gt;1,"DUPLICATE CLIENT",IF(B131="Active",IF(OR(F131="",G131="",H131="",J131=""),"COMPLETE CLIENT",IF(COUNTIF(Teams!$A$5:$A$104,J131)=0,"TEAM NOT FOUND","OK")),"OK")))</x:f>
      </x:c>
    </x:row>
    <x:row r="132">
      <x:c r="L132" s="100" t="str">
        <x:f>IF(A132="","",IF(B132&lt;&gt;"Active","NOT REQUIRED",IF(COUNTIF('Client Services'!$A$5:$A$1004,A132)=0,"ADD SERVICES","OK")))</x:f>
      </x:c>
      <x:c r="M132" s="100" t="str">
        <x:f>IF(A132="","",IF(B132&lt;&gt;"Active","NOT REQUIRED",IF(COUNTIF(Schedule!$C$5:$C$1204,A132)=0,"UNSCHEDULED",IF(H132="Custom","OK",IF(COUNTIF(Schedule!$C$5:$C$1204,A132)=IF(H132="Weekly",4,IF(H132="Fortnightly",2,1)),"OK","CHECK VISITS")))))</x:f>
      </x:c>
      <x:c r="N132" s="100" t="str">
        <x:f>IF(A132="","",IF(COUNTIF($A$5:$A$404,A132)&gt;1,"DUPLICATE CLIENT",IF(B132="Active",IF(OR(F132="",G132="",H132="",J132=""),"COMPLETE CLIENT",IF(COUNTIF(Teams!$A$5:$A$104,J132)=0,"TEAM NOT FOUND","OK")),"OK")))</x:f>
      </x:c>
    </x:row>
    <x:row r="133">
      <x:c r="L133" s="100" t="str">
        <x:f>IF(A133="","",IF(B133&lt;&gt;"Active","NOT REQUIRED",IF(COUNTIF('Client Services'!$A$5:$A$1004,A133)=0,"ADD SERVICES","OK")))</x:f>
      </x:c>
      <x:c r="M133" s="100" t="str">
        <x:f>IF(A133="","",IF(B133&lt;&gt;"Active","NOT REQUIRED",IF(COUNTIF(Schedule!$C$5:$C$1204,A133)=0,"UNSCHEDULED",IF(H133="Custom","OK",IF(COUNTIF(Schedule!$C$5:$C$1204,A133)=IF(H133="Weekly",4,IF(H133="Fortnightly",2,1)),"OK","CHECK VISITS")))))</x:f>
      </x:c>
      <x:c r="N133" s="100" t="str">
        <x:f>IF(A133="","",IF(COUNTIF($A$5:$A$404,A133)&gt;1,"DUPLICATE CLIENT",IF(B133="Active",IF(OR(F133="",G133="",H133="",J133=""),"COMPLETE CLIENT",IF(COUNTIF(Teams!$A$5:$A$104,J133)=0,"TEAM NOT FOUND","OK")),"OK")))</x:f>
      </x:c>
    </x:row>
    <x:row r="134">
      <x:c r="L134" s="100" t="str">
        <x:f>IF(A134="","",IF(B134&lt;&gt;"Active","NOT REQUIRED",IF(COUNTIF('Client Services'!$A$5:$A$1004,A134)=0,"ADD SERVICES","OK")))</x:f>
      </x:c>
      <x:c r="M134" s="100" t="str">
        <x:f>IF(A134="","",IF(B134&lt;&gt;"Active","NOT REQUIRED",IF(COUNTIF(Schedule!$C$5:$C$1204,A134)=0,"UNSCHEDULED",IF(H134="Custom","OK",IF(COUNTIF(Schedule!$C$5:$C$1204,A134)=IF(H134="Weekly",4,IF(H134="Fortnightly",2,1)),"OK","CHECK VISITS")))))</x:f>
      </x:c>
      <x:c r="N134" s="100" t="str">
        <x:f>IF(A134="","",IF(COUNTIF($A$5:$A$404,A134)&gt;1,"DUPLICATE CLIENT",IF(B134="Active",IF(OR(F134="",G134="",H134="",J134=""),"COMPLETE CLIENT",IF(COUNTIF(Teams!$A$5:$A$104,J134)=0,"TEAM NOT FOUND","OK")),"OK")))</x:f>
      </x:c>
    </x:row>
    <x:row r="135">
      <x:c r="L135" s="100" t="str">
        <x:f>IF(A135="","",IF(B135&lt;&gt;"Active","NOT REQUIRED",IF(COUNTIF('Client Services'!$A$5:$A$1004,A135)=0,"ADD SERVICES","OK")))</x:f>
      </x:c>
      <x:c r="M135" s="100" t="str">
        <x:f>IF(A135="","",IF(B135&lt;&gt;"Active","NOT REQUIRED",IF(COUNTIF(Schedule!$C$5:$C$1204,A135)=0,"UNSCHEDULED",IF(H135="Custom","OK",IF(COUNTIF(Schedule!$C$5:$C$1204,A135)=IF(H135="Weekly",4,IF(H135="Fortnightly",2,1)),"OK","CHECK VISITS")))))</x:f>
      </x:c>
      <x:c r="N135" s="100" t="str">
        <x:f>IF(A135="","",IF(COUNTIF($A$5:$A$404,A135)&gt;1,"DUPLICATE CLIENT",IF(B135="Active",IF(OR(F135="",G135="",H135="",J135=""),"COMPLETE CLIENT",IF(COUNTIF(Teams!$A$5:$A$104,J135)=0,"TEAM NOT FOUND","OK")),"OK")))</x:f>
      </x:c>
    </x:row>
    <x:row r="136">
      <x:c r="L136" s="100" t="str">
        <x:f>IF(A136="","",IF(B136&lt;&gt;"Active","NOT REQUIRED",IF(COUNTIF('Client Services'!$A$5:$A$1004,A136)=0,"ADD SERVICES","OK")))</x:f>
      </x:c>
      <x:c r="M136" s="100" t="str">
        <x:f>IF(A136="","",IF(B136&lt;&gt;"Active","NOT REQUIRED",IF(COUNTIF(Schedule!$C$5:$C$1204,A136)=0,"UNSCHEDULED",IF(H136="Custom","OK",IF(COUNTIF(Schedule!$C$5:$C$1204,A136)=IF(H136="Weekly",4,IF(H136="Fortnightly",2,1)),"OK","CHECK VISITS")))))</x:f>
      </x:c>
      <x:c r="N136" s="100" t="str">
        <x:f>IF(A136="","",IF(COUNTIF($A$5:$A$404,A136)&gt;1,"DUPLICATE CLIENT",IF(B136="Active",IF(OR(F136="",G136="",H136="",J136=""),"COMPLETE CLIENT",IF(COUNTIF(Teams!$A$5:$A$104,J136)=0,"TEAM NOT FOUND","OK")),"OK")))</x:f>
      </x:c>
    </x:row>
    <x:row r="137">
      <x:c r="L137" s="100" t="str">
        <x:f>IF(A137="","",IF(B137&lt;&gt;"Active","NOT REQUIRED",IF(COUNTIF('Client Services'!$A$5:$A$1004,A137)=0,"ADD SERVICES","OK")))</x:f>
      </x:c>
      <x:c r="M137" s="100" t="str">
        <x:f>IF(A137="","",IF(B137&lt;&gt;"Active","NOT REQUIRED",IF(COUNTIF(Schedule!$C$5:$C$1204,A137)=0,"UNSCHEDULED",IF(H137="Custom","OK",IF(COUNTIF(Schedule!$C$5:$C$1204,A137)=IF(H137="Weekly",4,IF(H137="Fortnightly",2,1)),"OK","CHECK VISITS")))))</x:f>
      </x:c>
      <x:c r="N137" s="100" t="str">
        <x:f>IF(A137="","",IF(COUNTIF($A$5:$A$404,A137)&gt;1,"DUPLICATE CLIENT",IF(B137="Active",IF(OR(F137="",G137="",H137="",J137=""),"COMPLETE CLIENT",IF(COUNTIF(Teams!$A$5:$A$104,J137)=0,"TEAM NOT FOUND","OK")),"OK")))</x:f>
      </x:c>
    </x:row>
    <x:row r="138">
      <x:c r="L138" s="100" t="str">
        <x:f>IF(A138="","",IF(B138&lt;&gt;"Active","NOT REQUIRED",IF(COUNTIF('Client Services'!$A$5:$A$1004,A138)=0,"ADD SERVICES","OK")))</x:f>
      </x:c>
      <x:c r="M138" s="100" t="str">
        <x:f>IF(A138="","",IF(B138&lt;&gt;"Active","NOT REQUIRED",IF(COUNTIF(Schedule!$C$5:$C$1204,A138)=0,"UNSCHEDULED",IF(H138="Custom","OK",IF(COUNTIF(Schedule!$C$5:$C$1204,A138)=IF(H138="Weekly",4,IF(H138="Fortnightly",2,1)),"OK","CHECK VISITS")))))</x:f>
      </x:c>
      <x:c r="N138" s="100" t="str">
        <x:f>IF(A138="","",IF(COUNTIF($A$5:$A$404,A138)&gt;1,"DUPLICATE CLIENT",IF(B138="Active",IF(OR(F138="",G138="",H138="",J138=""),"COMPLETE CLIENT",IF(COUNTIF(Teams!$A$5:$A$104,J138)=0,"TEAM NOT FOUND","OK")),"OK")))</x:f>
      </x:c>
    </x:row>
    <x:row r="139">
      <x:c r="L139" s="100" t="str">
        <x:f>IF(A139="","",IF(B139&lt;&gt;"Active","NOT REQUIRED",IF(COUNTIF('Client Services'!$A$5:$A$1004,A139)=0,"ADD SERVICES","OK")))</x:f>
      </x:c>
      <x:c r="M139" s="100" t="str">
        <x:f>IF(A139="","",IF(B139&lt;&gt;"Active","NOT REQUIRED",IF(COUNTIF(Schedule!$C$5:$C$1204,A139)=0,"UNSCHEDULED",IF(H139="Custom","OK",IF(COUNTIF(Schedule!$C$5:$C$1204,A139)=IF(H139="Weekly",4,IF(H139="Fortnightly",2,1)),"OK","CHECK VISITS")))))</x:f>
      </x:c>
      <x:c r="N139" s="100" t="str">
        <x:f>IF(A139="","",IF(COUNTIF($A$5:$A$404,A139)&gt;1,"DUPLICATE CLIENT",IF(B139="Active",IF(OR(F139="",G139="",H139="",J139=""),"COMPLETE CLIENT",IF(COUNTIF(Teams!$A$5:$A$104,J139)=0,"TEAM NOT FOUND","OK")),"OK")))</x:f>
      </x:c>
    </x:row>
    <x:row r="140">
      <x:c r="L140" s="100" t="str">
        <x:f>IF(A140="","",IF(B140&lt;&gt;"Active","NOT REQUIRED",IF(COUNTIF('Client Services'!$A$5:$A$1004,A140)=0,"ADD SERVICES","OK")))</x:f>
      </x:c>
      <x:c r="M140" s="100" t="str">
        <x:f>IF(A140="","",IF(B140&lt;&gt;"Active","NOT REQUIRED",IF(COUNTIF(Schedule!$C$5:$C$1204,A140)=0,"UNSCHEDULED",IF(H140="Custom","OK",IF(COUNTIF(Schedule!$C$5:$C$1204,A140)=IF(H140="Weekly",4,IF(H140="Fortnightly",2,1)),"OK","CHECK VISITS")))))</x:f>
      </x:c>
      <x:c r="N140" s="100" t="str">
        <x:f>IF(A140="","",IF(COUNTIF($A$5:$A$404,A140)&gt;1,"DUPLICATE CLIENT",IF(B140="Active",IF(OR(F140="",G140="",H140="",J140=""),"COMPLETE CLIENT",IF(COUNTIF(Teams!$A$5:$A$104,J140)=0,"TEAM NOT FOUND","OK")),"OK")))</x:f>
      </x:c>
    </x:row>
    <x:row r="141">
      <x:c r="L141" s="100" t="str">
        <x:f>IF(A141="","",IF(B141&lt;&gt;"Active","NOT REQUIRED",IF(COUNTIF('Client Services'!$A$5:$A$1004,A141)=0,"ADD SERVICES","OK")))</x:f>
      </x:c>
      <x:c r="M141" s="100" t="str">
        <x:f>IF(A141="","",IF(B141&lt;&gt;"Active","NOT REQUIRED",IF(COUNTIF(Schedule!$C$5:$C$1204,A141)=0,"UNSCHEDULED",IF(H141="Custom","OK",IF(COUNTIF(Schedule!$C$5:$C$1204,A141)=IF(H141="Weekly",4,IF(H141="Fortnightly",2,1)),"OK","CHECK VISITS")))))</x:f>
      </x:c>
      <x:c r="N141" s="100" t="str">
        <x:f>IF(A141="","",IF(COUNTIF($A$5:$A$404,A141)&gt;1,"DUPLICATE CLIENT",IF(B141="Active",IF(OR(F141="",G141="",H141="",J141=""),"COMPLETE CLIENT",IF(COUNTIF(Teams!$A$5:$A$104,J141)=0,"TEAM NOT FOUND","OK")),"OK")))</x:f>
      </x:c>
    </x:row>
    <x:row r="142">
      <x:c r="L142" s="100" t="str">
        <x:f>IF(A142="","",IF(B142&lt;&gt;"Active","NOT REQUIRED",IF(COUNTIF('Client Services'!$A$5:$A$1004,A142)=0,"ADD SERVICES","OK")))</x:f>
      </x:c>
      <x:c r="M142" s="100" t="str">
        <x:f>IF(A142="","",IF(B142&lt;&gt;"Active","NOT REQUIRED",IF(COUNTIF(Schedule!$C$5:$C$1204,A142)=0,"UNSCHEDULED",IF(H142="Custom","OK",IF(COUNTIF(Schedule!$C$5:$C$1204,A142)=IF(H142="Weekly",4,IF(H142="Fortnightly",2,1)),"OK","CHECK VISITS")))))</x:f>
      </x:c>
      <x:c r="N142" s="100" t="str">
        <x:f>IF(A142="","",IF(COUNTIF($A$5:$A$404,A142)&gt;1,"DUPLICATE CLIENT",IF(B142="Active",IF(OR(F142="",G142="",H142="",J142=""),"COMPLETE CLIENT",IF(COUNTIF(Teams!$A$5:$A$104,J142)=0,"TEAM NOT FOUND","OK")),"OK")))</x:f>
      </x:c>
    </x:row>
    <x:row r="143">
      <x:c r="L143" s="100" t="str">
        <x:f>IF(A143="","",IF(B143&lt;&gt;"Active","NOT REQUIRED",IF(COUNTIF('Client Services'!$A$5:$A$1004,A143)=0,"ADD SERVICES","OK")))</x:f>
      </x:c>
      <x:c r="M143" s="100" t="str">
        <x:f>IF(A143="","",IF(B143&lt;&gt;"Active","NOT REQUIRED",IF(COUNTIF(Schedule!$C$5:$C$1204,A143)=0,"UNSCHEDULED",IF(H143="Custom","OK",IF(COUNTIF(Schedule!$C$5:$C$1204,A143)=IF(H143="Weekly",4,IF(H143="Fortnightly",2,1)),"OK","CHECK VISITS")))))</x:f>
      </x:c>
      <x:c r="N143" s="100" t="str">
        <x:f>IF(A143="","",IF(COUNTIF($A$5:$A$404,A143)&gt;1,"DUPLICATE CLIENT",IF(B143="Active",IF(OR(F143="",G143="",H143="",J143=""),"COMPLETE CLIENT",IF(COUNTIF(Teams!$A$5:$A$104,J143)=0,"TEAM NOT FOUND","OK")),"OK")))</x:f>
      </x:c>
    </x:row>
    <x:row r="144">
      <x:c r="L144" s="100" t="str">
        <x:f>IF(A144="","",IF(B144&lt;&gt;"Active","NOT REQUIRED",IF(COUNTIF('Client Services'!$A$5:$A$1004,A144)=0,"ADD SERVICES","OK")))</x:f>
      </x:c>
      <x:c r="M144" s="100" t="str">
        <x:f>IF(A144="","",IF(B144&lt;&gt;"Active","NOT REQUIRED",IF(COUNTIF(Schedule!$C$5:$C$1204,A144)=0,"UNSCHEDULED",IF(H144="Custom","OK",IF(COUNTIF(Schedule!$C$5:$C$1204,A144)=IF(H144="Weekly",4,IF(H144="Fortnightly",2,1)),"OK","CHECK VISITS")))))</x:f>
      </x:c>
      <x:c r="N144" s="100" t="str">
        <x:f>IF(A144="","",IF(COUNTIF($A$5:$A$404,A144)&gt;1,"DUPLICATE CLIENT",IF(B144="Active",IF(OR(F144="",G144="",H144="",J144=""),"COMPLETE CLIENT",IF(COUNTIF(Teams!$A$5:$A$104,J144)=0,"TEAM NOT FOUND","OK")),"OK")))</x:f>
      </x:c>
    </x:row>
    <x:row r="145">
      <x:c r="L145" s="100" t="str">
        <x:f>IF(A145="","",IF(B145&lt;&gt;"Active","NOT REQUIRED",IF(COUNTIF('Client Services'!$A$5:$A$1004,A145)=0,"ADD SERVICES","OK")))</x:f>
      </x:c>
      <x:c r="M145" s="100" t="str">
        <x:f>IF(A145="","",IF(B145&lt;&gt;"Active","NOT REQUIRED",IF(COUNTIF(Schedule!$C$5:$C$1204,A145)=0,"UNSCHEDULED",IF(H145="Custom","OK",IF(COUNTIF(Schedule!$C$5:$C$1204,A145)=IF(H145="Weekly",4,IF(H145="Fortnightly",2,1)),"OK","CHECK VISITS")))))</x:f>
      </x:c>
      <x:c r="N145" s="100" t="str">
        <x:f>IF(A145="","",IF(COUNTIF($A$5:$A$404,A145)&gt;1,"DUPLICATE CLIENT",IF(B145="Active",IF(OR(F145="",G145="",H145="",J145=""),"COMPLETE CLIENT",IF(COUNTIF(Teams!$A$5:$A$104,J145)=0,"TEAM NOT FOUND","OK")),"OK")))</x:f>
      </x:c>
    </x:row>
    <x:row r="146">
      <x:c r="L146" s="100" t="str">
        <x:f>IF(A146="","",IF(B146&lt;&gt;"Active","NOT REQUIRED",IF(COUNTIF('Client Services'!$A$5:$A$1004,A146)=0,"ADD SERVICES","OK")))</x:f>
      </x:c>
      <x:c r="M146" s="100" t="str">
        <x:f>IF(A146="","",IF(B146&lt;&gt;"Active","NOT REQUIRED",IF(COUNTIF(Schedule!$C$5:$C$1204,A146)=0,"UNSCHEDULED",IF(H146="Custom","OK",IF(COUNTIF(Schedule!$C$5:$C$1204,A146)=IF(H146="Weekly",4,IF(H146="Fortnightly",2,1)),"OK","CHECK VISITS")))))</x:f>
      </x:c>
      <x:c r="N146" s="100" t="str">
        <x:f>IF(A146="","",IF(COUNTIF($A$5:$A$404,A146)&gt;1,"DUPLICATE CLIENT",IF(B146="Active",IF(OR(F146="",G146="",H146="",J146=""),"COMPLETE CLIENT",IF(COUNTIF(Teams!$A$5:$A$104,J146)=0,"TEAM NOT FOUND","OK")),"OK")))</x:f>
      </x:c>
    </x:row>
    <x:row r="147">
      <x:c r="L147" s="100" t="str">
        <x:f>IF(A147="","",IF(B147&lt;&gt;"Active","NOT REQUIRED",IF(COUNTIF('Client Services'!$A$5:$A$1004,A147)=0,"ADD SERVICES","OK")))</x:f>
      </x:c>
      <x:c r="M147" s="100" t="str">
        <x:f>IF(A147="","",IF(B147&lt;&gt;"Active","NOT REQUIRED",IF(COUNTIF(Schedule!$C$5:$C$1204,A147)=0,"UNSCHEDULED",IF(H147="Custom","OK",IF(COUNTIF(Schedule!$C$5:$C$1204,A147)=IF(H147="Weekly",4,IF(H147="Fortnightly",2,1)),"OK","CHECK VISITS")))))</x:f>
      </x:c>
      <x:c r="N147" s="100" t="str">
        <x:f>IF(A147="","",IF(COUNTIF($A$5:$A$404,A147)&gt;1,"DUPLICATE CLIENT",IF(B147="Active",IF(OR(F147="",G147="",H147="",J147=""),"COMPLETE CLIENT",IF(COUNTIF(Teams!$A$5:$A$104,J147)=0,"TEAM NOT FOUND","OK")),"OK")))</x:f>
      </x:c>
    </x:row>
    <x:row r="148">
      <x:c r="L148" s="100" t="str">
        <x:f>IF(A148="","",IF(B148&lt;&gt;"Active","NOT REQUIRED",IF(COUNTIF('Client Services'!$A$5:$A$1004,A148)=0,"ADD SERVICES","OK")))</x:f>
      </x:c>
      <x:c r="M148" s="100" t="str">
        <x:f>IF(A148="","",IF(B148&lt;&gt;"Active","NOT REQUIRED",IF(COUNTIF(Schedule!$C$5:$C$1204,A148)=0,"UNSCHEDULED",IF(H148="Custom","OK",IF(COUNTIF(Schedule!$C$5:$C$1204,A148)=IF(H148="Weekly",4,IF(H148="Fortnightly",2,1)),"OK","CHECK VISITS")))))</x:f>
      </x:c>
      <x:c r="N148" s="100" t="str">
        <x:f>IF(A148="","",IF(COUNTIF($A$5:$A$404,A148)&gt;1,"DUPLICATE CLIENT",IF(B148="Active",IF(OR(F148="",G148="",H148="",J148=""),"COMPLETE CLIENT",IF(COUNTIF(Teams!$A$5:$A$104,J148)=0,"TEAM NOT FOUND","OK")),"OK")))</x:f>
      </x:c>
    </x:row>
    <x:row r="149">
      <x:c r="L149" s="100" t="str">
        <x:f>IF(A149="","",IF(B149&lt;&gt;"Active","NOT REQUIRED",IF(COUNTIF('Client Services'!$A$5:$A$1004,A149)=0,"ADD SERVICES","OK")))</x:f>
      </x:c>
      <x:c r="M149" s="100" t="str">
        <x:f>IF(A149="","",IF(B149&lt;&gt;"Active","NOT REQUIRED",IF(COUNTIF(Schedule!$C$5:$C$1204,A149)=0,"UNSCHEDULED",IF(H149="Custom","OK",IF(COUNTIF(Schedule!$C$5:$C$1204,A149)=IF(H149="Weekly",4,IF(H149="Fortnightly",2,1)),"OK","CHECK VISITS")))))</x:f>
      </x:c>
      <x:c r="N149" s="100" t="str">
        <x:f>IF(A149="","",IF(COUNTIF($A$5:$A$404,A149)&gt;1,"DUPLICATE CLIENT",IF(B149="Active",IF(OR(F149="",G149="",H149="",J149=""),"COMPLETE CLIENT",IF(COUNTIF(Teams!$A$5:$A$104,J149)=0,"TEAM NOT FOUND","OK")),"OK")))</x:f>
      </x:c>
    </x:row>
    <x:row r="150">
      <x:c r="L150" s="100" t="str">
        <x:f>IF(A150="","",IF(B150&lt;&gt;"Active","NOT REQUIRED",IF(COUNTIF('Client Services'!$A$5:$A$1004,A150)=0,"ADD SERVICES","OK")))</x:f>
      </x:c>
      <x:c r="M150" s="100" t="str">
        <x:f>IF(A150="","",IF(B150&lt;&gt;"Active","NOT REQUIRED",IF(COUNTIF(Schedule!$C$5:$C$1204,A150)=0,"UNSCHEDULED",IF(H150="Custom","OK",IF(COUNTIF(Schedule!$C$5:$C$1204,A150)=IF(H150="Weekly",4,IF(H150="Fortnightly",2,1)),"OK","CHECK VISITS")))))</x:f>
      </x:c>
      <x:c r="N150" s="100" t="str">
        <x:f>IF(A150="","",IF(COUNTIF($A$5:$A$404,A150)&gt;1,"DUPLICATE CLIENT",IF(B150="Active",IF(OR(F150="",G150="",H150="",J150=""),"COMPLETE CLIENT",IF(COUNTIF(Teams!$A$5:$A$104,J150)=0,"TEAM NOT FOUND","OK")),"OK")))</x:f>
      </x:c>
    </x:row>
    <x:row r="151">
      <x:c r="L151" s="100" t="str">
        <x:f>IF(A151="","",IF(B151&lt;&gt;"Active","NOT REQUIRED",IF(COUNTIF('Client Services'!$A$5:$A$1004,A151)=0,"ADD SERVICES","OK")))</x:f>
      </x:c>
      <x:c r="M151" s="100" t="str">
        <x:f>IF(A151="","",IF(B151&lt;&gt;"Active","NOT REQUIRED",IF(COUNTIF(Schedule!$C$5:$C$1204,A151)=0,"UNSCHEDULED",IF(H151="Custom","OK",IF(COUNTIF(Schedule!$C$5:$C$1204,A151)=IF(H151="Weekly",4,IF(H151="Fortnightly",2,1)),"OK","CHECK VISITS")))))</x:f>
      </x:c>
      <x:c r="N151" s="100" t="str">
        <x:f>IF(A151="","",IF(COUNTIF($A$5:$A$404,A151)&gt;1,"DUPLICATE CLIENT",IF(B151="Active",IF(OR(F151="",G151="",H151="",J151=""),"COMPLETE CLIENT",IF(COUNTIF(Teams!$A$5:$A$104,J151)=0,"TEAM NOT FOUND","OK")),"OK")))</x:f>
      </x:c>
    </x:row>
    <x:row r="152">
      <x:c r="L152" s="100" t="str">
        <x:f>IF(A152="","",IF(B152&lt;&gt;"Active","NOT REQUIRED",IF(COUNTIF('Client Services'!$A$5:$A$1004,A152)=0,"ADD SERVICES","OK")))</x:f>
      </x:c>
      <x:c r="M152" s="100" t="str">
        <x:f>IF(A152="","",IF(B152&lt;&gt;"Active","NOT REQUIRED",IF(COUNTIF(Schedule!$C$5:$C$1204,A152)=0,"UNSCHEDULED",IF(H152="Custom","OK",IF(COUNTIF(Schedule!$C$5:$C$1204,A152)=IF(H152="Weekly",4,IF(H152="Fortnightly",2,1)),"OK","CHECK VISITS")))))</x:f>
      </x:c>
      <x:c r="N152" s="100" t="str">
        <x:f>IF(A152="","",IF(COUNTIF($A$5:$A$404,A152)&gt;1,"DUPLICATE CLIENT",IF(B152="Active",IF(OR(F152="",G152="",H152="",J152=""),"COMPLETE CLIENT",IF(COUNTIF(Teams!$A$5:$A$104,J152)=0,"TEAM NOT FOUND","OK")),"OK")))</x:f>
      </x:c>
    </x:row>
    <x:row r="153">
      <x:c r="L153" s="100" t="str">
        <x:f>IF(A153="","",IF(B153&lt;&gt;"Active","NOT REQUIRED",IF(COUNTIF('Client Services'!$A$5:$A$1004,A153)=0,"ADD SERVICES","OK")))</x:f>
      </x:c>
      <x:c r="M153" s="100" t="str">
        <x:f>IF(A153="","",IF(B153&lt;&gt;"Active","NOT REQUIRED",IF(COUNTIF(Schedule!$C$5:$C$1204,A153)=0,"UNSCHEDULED",IF(H153="Custom","OK",IF(COUNTIF(Schedule!$C$5:$C$1204,A153)=IF(H153="Weekly",4,IF(H153="Fortnightly",2,1)),"OK","CHECK VISITS")))))</x:f>
      </x:c>
      <x:c r="N153" s="100" t="str">
        <x:f>IF(A153="","",IF(COUNTIF($A$5:$A$404,A153)&gt;1,"DUPLICATE CLIENT",IF(B153="Active",IF(OR(F153="",G153="",H153="",J153=""),"COMPLETE CLIENT",IF(COUNTIF(Teams!$A$5:$A$104,J153)=0,"TEAM NOT FOUND","OK")),"OK")))</x:f>
      </x:c>
    </x:row>
    <x:row r="154">
      <x:c r="L154" s="100" t="str">
        <x:f>IF(A154="","",IF(B154&lt;&gt;"Active","NOT REQUIRED",IF(COUNTIF('Client Services'!$A$5:$A$1004,A154)=0,"ADD SERVICES","OK")))</x:f>
      </x:c>
      <x:c r="M154" s="100" t="str">
        <x:f>IF(A154="","",IF(B154&lt;&gt;"Active","NOT REQUIRED",IF(COUNTIF(Schedule!$C$5:$C$1204,A154)=0,"UNSCHEDULED",IF(H154="Custom","OK",IF(COUNTIF(Schedule!$C$5:$C$1204,A154)=IF(H154="Weekly",4,IF(H154="Fortnightly",2,1)),"OK","CHECK VISITS")))))</x:f>
      </x:c>
      <x:c r="N154" s="100" t="str">
        <x:f>IF(A154="","",IF(COUNTIF($A$5:$A$404,A154)&gt;1,"DUPLICATE CLIENT",IF(B154="Active",IF(OR(F154="",G154="",H154="",J154=""),"COMPLETE CLIENT",IF(COUNTIF(Teams!$A$5:$A$104,J154)=0,"TEAM NOT FOUND","OK")),"OK")))</x:f>
      </x:c>
    </x:row>
    <x:row r="155">
      <x:c r="L155" s="100" t="str">
        <x:f>IF(A155="","",IF(B155&lt;&gt;"Active","NOT REQUIRED",IF(COUNTIF('Client Services'!$A$5:$A$1004,A155)=0,"ADD SERVICES","OK")))</x:f>
      </x:c>
      <x:c r="M155" s="100" t="str">
        <x:f>IF(A155="","",IF(B155&lt;&gt;"Active","NOT REQUIRED",IF(COUNTIF(Schedule!$C$5:$C$1204,A155)=0,"UNSCHEDULED",IF(H155="Custom","OK",IF(COUNTIF(Schedule!$C$5:$C$1204,A155)=IF(H155="Weekly",4,IF(H155="Fortnightly",2,1)),"OK","CHECK VISITS")))))</x:f>
      </x:c>
      <x:c r="N155" s="100" t="str">
        <x:f>IF(A155="","",IF(COUNTIF($A$5:$A$404,A155)&gt;1,"DUPLICATE CLIENT",IF(B155="Active",IF(OR(F155="",G155="",H155="",J155=""),"COMPLETE CLIENT",IF(COUNTIF(Teams!$A$5:$A$104,J155)=0,"TEAM NOT FOUND","OK")),"OK")))</x:f>
      </x:c>
    </x:row>
    <x:row r="156">
      <x:c r="L156" s="100" t="str">
        <x:f>IF(A156="","",IF(B156&lt;&gt;"Active","NOT REQUIRED",IF(COUNTIF('Client Services'!$A$5:$A$1004,A156)=0,"ADD SERVICES","OK")))</x:f>
      </x:c>
      <x:c r="M156" s="100" t="str">
        <x:f>IF(A156="","",IF(B156&lt;&gt;"Active","NOT REQUIRED",IF(COUNTIF(Schedule!$C$5:$C$1204,A156)=0,"UNSCHEDULED",IF(H156="Custom","OK",IF(COUNTIF(Schedule!$C$5:$C$1204,A156)=IF(H156="Weekly",4,IF(H156="Fortnightly",2,1)),"OK","CHECK VISITS")))))</x:f>
      </x:c>
      <x:c r="N156" s="100" t="str">
        <x:f>IF(A156="","",IF(COUNTIF($A$5:$A$404,A156)&gt;1,"DUPLICATE CLIENT",IF(B156="Active",IF(OR(F156="",G156="",H156="",J156=""),"COMPLETE CLIENT",IF(COUNTIF(Teams!$A$5:$A$104,J156)=0,"TEAM NOT FOUND","OK")),"OK")))</x:f>
      </x:c>
    </x:row>
    <x:row r="157">
      <x:c r="L157" s="100" t="str">
        <x:f>IF(A157="","",IF(B157&lt;&gt;"Active","NOT REQUIRED",IF(COUNTIF('Client Services'!$A$5:$A$1004,A157)=0,"ADD SERVICES","OK")))</x:f>
      </x:c>
      <x:c r="M157" s="100" t="str">
        <x:f>IF(A157="","",IF(B157&lt;&gt;"Active","NOT REQUIRED",IF(COUNTIF(Schedule!$C$5:$C$1204,A157)=0,"UNSCHEDULED",IF(H157="Custom","OK",IF(COUNTIF(Schedule!$C$5:$C$1204,A157)=IF(H157="Weekly",4,IF(H157="Fortnightly",2,1)),"OK","CHECK VISITS")))))</x:f>
      </x:c>
      <x:c r="N157" s="100" t="str">
        <x:f>IF(A157="","",IF(COUNTIF($A$5:$A$404,A157)&gt;1,"DUPLICATE CLIENT",IF(B157="Active",IF(OR(F157="",G157="",H157="",J157=""),"COMPLETE CLIENT",IF(COUNTIF(Teams!$A$5:$A$104,J157)=0,"TEAM NOT FOUND","OK")),"OK")))</x:f>
      </x:c>
    </x:row>
    <x:row r="158">
      <x:c r="L158" s="100" t="str">
        <x:f>IF(A158="","",IF(B158&lt;&gt;"Active","NOT REQUIRED",IF(COUNTIF('Client Services'!$A$5:$A$1004,A158)=0,"ADD SERVICES","OK")))</x:f>
      </x:c>
      <x:c r="M158" s="100" t="str">
        <x:f>IF(A158="","",IF(B158&lt;&gt;"Active","NOT REQUIRED",IF(COUNTIF(Schedule!$C$5:$C$1204,A158)=0,"UNSCHEDULED",IF(H158="Custom","OK",IF(COUNTIF(Schedule!$C$5:$C$1204,A158)=IF(H158="Weekly",4,IF(H158="Fortnightly",2,1)),"OK","CHECK VISITS")))))</x:f>
      </x:c>
      <x:c r="N158" s="100" t="str">
        <x:f>IF(A158="","",IF(COUNTIF($A$5:$A$404,A158)&gt;1,"DUPLICATE CLIENT",IF(B158="Active",IF(OR(F158="",G158="",H158="",J158=""),"COMPLETE CLIENT",IF(COUNTIF(Teams!$A$5:$A$104,J158)=0,"TEAM NOT FOUND","OK")),"OK")))</x:f>
      </x:c>
    </x:row>
    <x:row r="159">
      <x:c r="L159" s="100" t="str">
        <x:f>IF(A159="","",IF(B159&lt;&gt;"Active","NOT REQUIRED",IF(COUNTIF('Client Services'!$A$5:$A$1004,A159)=0,"ADD SERVICES","OK")))</x:f>
      </x:c>
      <x:c r="M159" s="100" t="str">
        <x:f>IF(A159="","",IF(B159&lt;&gt;"Active","NOT REQUIRED",IF(COUNTIF(Schedule!$C$5:$C$1204,A159)=0,"UNSCHEDULED",IF(H159="Custom","OK",IF(COUNTIF(Schedule!$C$5:$C$1204,A159)=IF(H159="Weekly",4,IF(H159="Fortnightly",2,1)),"OK","CHECK VISITS")))))</x:f>
      </x:c>
      <x:c r="N159" s="100" t="str">
        <x:f>IF(A159="","",IF(COUNTIF($A$5:$A$404,A159)&gt;1,"DUPLICATE CLIENT",IF(B159="Active",IF(OR(F159="",G159="",H159="",J159=""),"COMPLETE CLIENT",IF(COUNTIF(Teams!$A$5:$A$104,J159)=0,"TEAM NOT FOUND","OK")),"OK")))</x:f>
      </x:c>
    </x:row>
    <x:row r="160">
      <x:c r="L160" s="100" t="str">
        <x:f>IF(A160="","",IF(B160&lt;&gt;"Active","NOT REQUIRED",IF(COUNTIF('Client Services'!$A$5:$A$1004,A160)=0,"ADD SERVICES","OK")))</x:f>
      </x:c>
      <x:c r="M160" s="100" t="str">
        <x:f>IF(A160="","",IF(B160&lt;&gt;"Active","NOT REQUIRED",IF(COUNTIF(Schedule!$C$5:$C$1204,A160)=0,"UNSCHEDULED",IF(H160="Custom","OK",IF(COUNTIF(Schedule!$C$5:$C$1204,A160)=IF(H160="Weekly",4,IF(H160="Fortnightly",2,1)),"OK","CHECK VISITS")))))</x:f>
      </x:c>
      <x:c r="N160" s="100" t="str">
        <x:f>IF(A160="","",IF(COUNTIF($A$5:$A$404,A160)&gt;1,"DUPLICATE CLIENT",IF(B160="Active",IF(OR(F160="",G160="",H160="",J160=""),"COMPLETE CLIENT",IF(COUNTIF(Teams!$A$5:$A$104,J160)=0,"TEAM NOT FOUND","OK")),"OK")))</x:f>
      </x:c>
    </x:row>
    <x:row r="161">
      <x:c r="L161" s="100" t="str">
        <x:f>IF(A161="","",IF(B161&lt;&gt;"Active","NOT REQUIRED",IF(COUNTIF('Client Services'!$A$5:$A$1004,A161)=0,"ADD SERVICES","OK")))</x:f>
      </x:c>
      <x:c r="M161" s="100" t="str">
        <x:f>IF(A161="","",IF(B161&lt;&gt;"Active","NOT REQUIRED",IF(COUNTIF(Schedule!$C$5:$C$1204,A161)=0,"UNSCHEDULED",IF(H161="Custom","OK",IF(COUNTIF(Schedule!$C$5:$C$1204,A161)=IF(H161="Weekly",4,IF(H161="Fortnightly",2,1)),"OK","CHECK VISITS")))))</x:f>
      </x:c>
      <x:c r="N161" s="100" t="str">
        <x:f>IF(A161="","",IF(COUNTIF($A$5:$A$404,A161)&gt;1,"DUPLICATE CLIENT",IF(B161="Active",IF(OR(F161="",G161="",H161="",J161=""),"COMPLETE CLIENT",IF(COUNTIF(Teams!$A$5:$A$104,J161)=0,"TEAM NOT FOUND","OK")),"OK")))</x:f>
      </x:c>
    </x:row>
    <x:row r="162">
      <x:c r="L162" s="100" t="str">
        <x:f>IF(A162="","",IF(B162&lt;&gt;"Active","NOT REQUIRED",IF(COUNTIF('Client Services'!$A$5:$A$1004,A162)=0,"ADD SERVICES","OK")))</x:f>
      </x:c>
      <x:c r="M162" s="100" t="str">
        <x:f>IF(A162="","",IF(B162&lt;&gt;"Active","NOT REQUIRED",IF(COUNTIF(Schedule!$C$5:$C$1204,A162)=0,"UNSCHEDULED",IF(H162="Custom","OK",IF(COUNTIF(Schedule!$C$5:$C$1204,A162)=IF(H162="Weekly",4,IF(H162="Fortnightly",2,1)),"OK","CHECK VISITS")))))</x:f>
      </x:c>
      <x:c r="N162" s="100" t="str">
        <x:f>IF(A162="","",IF(COUNTIF($A$5:$A$404,A162)&gt;1,"DUPLICATE CLIENT",IF(B162="Active",IF(OR(F162="",G162="",H162="",J162=""),"COMPLETE CLIENT",IF(COUNTIF(Teams!$A$5:$A$104,J162)=0,"TEAM NOT FOUND","OK")),"OK")))</x:f>
      </x:c>
    </x:row>
    <x:row r="163">
      <x:c r="L163" s="100" t="str">
        <x:f>IF(A163="","",IF(B163&lt;&gt;"Active","NOT REQUIRED",IF(COUNTIF('Client Services'!$A$5:$A$1004,A163)=0,"ADD SERVICES","OK")))</x:f>
      </x:c>
      <x:c r="M163" s="100" t="str">
        <x:f>IF(A163="","",IF(B163&lt;&gt;"Active","NOT REQUIRED",IF(COUNTIF(Schedule!$C$5:$C$1204,A163)=0,"UNSCHEDULED",IF(H163="Custom","OK",IF(COUNTIF(Schedule!$C$5:$C$1204,A163)=IF(H163="Weekly",4,IF(H163="Fortnightly",2,1)),"OK","CHECK VISITS")))))</x:f>
      </x:c>
      <x:c r="N163" s="100" t="str">
        <x:f>IF(A163="","",IF(COUNTIF($A$5:$A$404,A163)&gt;1,"DUPLICATE CLIENT",IF(B163="Active",IF(OR(F163="",G163="",H163="",J163=""),"COMPLETE CLIENT",IF(COUNTIF(Teams!$A$5:$A$104,J163)=0,"TEAM NOT FOUND","OK")),"OK")))</x:f>
      </x:c>
    </x:row>
    <x:row r="164">
      <x:c r="L164" s="100" t="str">
        <x:f>IF(A164="","",IF(B164&lt;&gt;"Active","NOT REQUIRED",IF(COUNTIF('Client Services'!$A$5:$A$1004,A164)=0,"ADD SERVICES","OK")))</x:f>
      </x:c>
      <x:c r="M164" s="100" t="str">
        <x:f>IF(A164="","",IF(B164&lt;&gt;"Active","NOT REQUIRED",IF(COUNTIF(Schedule!$C$5:$C$1204,A164)=0,"UNSCHEDULED",IF(H164="Custom","OK",IF(COUNTIF(Schedule!$C$5:$C$1204,A164)=IF(H164="Weekly",4,IF(H164="Fortnightly",2,1)),"OK","CHECK VISITS")))))</x:f>
      </x:c>
      <x:c r="N164" s="100" t="str">
        <x:f>IF(A164="","",IF(COUNTIF($A$5:$A$404,A164)&gt;1,"DUPLICATE CLIENT",IF(B164="Active",IF(OR(F164="",G164="",H164="",J164=""),"COMPLETE CLIENT",IF(COUNTIF(Teams!$A$5:$A$104,J164)=0,"TEAM NOT FOUND","OK")),"OK")))</x:f>
      </x:c>
    </x:row>
    <x:row r="165">
      <x:c r="L165" s="100" t="str">
        <x:f>IF(A165="","",IF(B165&lt;&gt;"Active","NOT REQUIRED",IF(COUNTIF('Client Services'!$A$5:$A$1004,A165)=0,"ADD SERVICES","OK")))</x:f>
      </x:c>
      <x:c r="M165" s="100" t="str">
        <x:f>IF(A165="","",IF(B165&lt;&gt;"Active","NOT REQUIRED",IF(COUNTIF(Schedule!$C$5:$C$1204,A165)=0,"UNSCHEDULED",IF(H165="Custom","OK",IF(COUNTIF(Schedule!$C$5:$C$1204,A165)=IF(H165="Weekly",4,IF(H165="Fortnightly",2,1)),"OK","CHECK VISITS")))))</x:f>
      </x:c>
      <x:c r="N165" s="100" t="str">
        <x:f>IF(A165="","",IF(COUNTIF($A$5:$A$404,A165)&gt;1,"DUPLICATE CLIENT",IF(B165="Active",IF(OR(F165="",G165="",H165="",J165=""),"COMPLETE CLIENT",IF(COUNTIF(Teams!$A$5:$A$104,J165)=0,"TEAM NOT FOUND","OK")),"OK")))</x:f>
      </x:c>
    </x:row>
    <x:row r="166">
      <x:c r="L166" s="100" t="str">
        <x:f>IF(A166="","",IF(B166&lt;&gt;"Active","NOT REQUIRED",IF(COUNTIF('Client Services'!$A$5:$A$1004,A166)=0,"ADD SERVICES","OK")))</x:f>
      </x:c>
      <x:c r="M166" s="100" t="str">
        <x:f>IF(A166="","",IF(B166&lt;&gt;"Active","NOT REQUIRED",IF(COUNTIF(Schedule!$C$5:$C$1204,A166)=0,"UNSCHEDULED",IF(H166="Custom","OK",IF(COUNTIF(Schedule!$C$5:$C$1204,A166)=IF(H166="Weekly",4,IF(H166="Fortnightly",2,1)),"OK","CHECK VISITS")))))</x:f>
      </x:c>
      <x:c r="N166" s="100" t="str">
        <x:f>IF(A166="","",IF(COUNTIF($A$5:$A$404,A166)&gt;1,"DUPLICATE CLIENT",IF(B166="Active",IF(OR(F166="",G166="",H166="",J166=""),"COMPLETE CLIENT",IF(COUNTIF(Teams!$A$5:$A$104,J166)=0,"TEAM NOT FOUND","OK")),"OK")))</x:f>
      </x:c>
    </x:row>
    <x:row r="167">
      <x:c r="L167" s="100" t="str">
        <x:f>IF(A167="","",IF(B167&lt;&gt;"Active","NOT REQUIRED",IF(COUNTIF('Client Services'!$A$5:$A$1004,A167)=0,"ADD SERVICES","OK")))</x:f>
      </x:c>
      <x:c r="M167" s="100" t="str">
        <x:f>IF(A167="","",IF(B167&lt;&gt;"Active","NOT REQUIRED",IF(COUNTIF(Schedule!$C$5:$C$1204,A167)=0,"UNSCHEDULED",IF(H167="Custom","OK",IF(COUNTIF(Schedule!$C$5:$C$1204,A167)=IF(H167="Weekly",4,IF(H167="Fortnightly",2,1)),"OK","CHECK VISITS")))))</x:f>
      </x:c>
      <x:c r="N167" s="100" t="str">
        <x:f>IF(A167="","",IF(COUNTIF($A$5:$A$404,A167)&gt;1,"DUPLICATE CLIENT",IF(B167="Active",IF(OR(F167="",G167="",H167="",J167=""),"COMPLETE CLIENT",IF(COUNTIF(Teams!$A$5:$A$104,J167)=0,"TEAM NOT FOUND","OK")),"OK")))</x:f>
      </x:c>
    </x:row>
    <x:row r="168">
      <x:c r="L168" s="100" t="str">
        <x:f>IF(A168="","",IF(B168&lt;&gt;"Active","NOT REQUIRED",IF(COUNTIF('Client Services'!$A$5:$A$1004,A168)=0,"ADD SERVICES","OK")))</x:f>
      </x:c>
      <x:c r="M168" s="100" t="str">
        <x:f>IF(A168="","",IF(B168&lt;&gt;"Active","NOT REQUIRED",IF(COUNTIF(Schedule!$C$5:$C$1204,A168)=0,"UNSCHEDULED",IF(H168="Custom","OK",IF(COUNTIF(Schedule!$C$5:$C$1204,A168)=IF(H168="Weekly",4,IF(H168="Fortnightly",2,1)),"OK","CHECK VISITS")))))</x:f>
      </x:c>
      <x:c r="N168" s="100" t="str">
        <x:f>IF(A168="","",IF(COUNTIF($A$5:$A$404,A168)&gt;1,"DUPLICATE CLIENT",IF(B168="Active",IF(OR(F168="",G168="",H168="",J168=""),"COMPLETE CLIENT",IF(COUNTIF(Teams!$A$5:$A$104,J168)=0,"TEAM NOT FOUND","OK")),"OK")))</x:f>
      </x:c>
    </x:row>
    <x:row r="169">
      <x:c r="L169" s="100" t="str">
        <x:f>IF(A169="","",IF(B169&lt;&gt;"Active","NOT REQUIRED",IF(COUNTIF('Client Services'!$A$5:$A$1004,A169)=0,"ADD SERVICES","OK")))</x:f>
      </x:c>
      <x:c r="M169" s="100" t="str">
        <x:f>IF(A169="","",IF(B169&lt;&gt;"Active","NOT REQUIRED",IF(COUNTIF(Schedule!$C$5:$C$1204,A169)=0,"UNSCHEDULED",IF(H169="Custom","OK",IF(COUNTIF(Schedule!$C$5:$C$1204,A169)=IF(H169="Weekly",4,IF(H169="Fortnightly",2,1)),"OK","CHECK VISITS")))))</x:f>
      </x:c>
      <x:c r="N169" s="100" t="str">
        <x:f>IF(A169="","",IF(COUNTIF($A$5:$A$404,A169)&gt;1,"DUPLICATE CLIENT",IF(B169="Active",IF(OR(F169="",G169="",H169="",J169=""),"COMPLETE CLIENT",IF(COUNTIF(Teams!$A$5:$A$104,J169)=0,"TEAM NOT FOUND","OK")),"OK")))</x:f>
      </x:c>
    </x:row>
    <x:row r="170">
      <x:c r="L170" s="100" t="str">
        <x:f>IF(A170="","",IF(B170&lt;&gt;"Active","NOT REQUIRED",IF(COUNTIF('Client Services'!$A$5:$A$1004,A170)=0,"ADD SERVICES","OK")))</x:f>
      </x:c>
      <x:c r="M170" s="100" t="str">
        <x:f>IF(A170="","",IF(B170&lt;&gt;"Active","NOT REQUIRED",IF(COUNTIF(Schedule!$C$5:$C$1204,A170)=0,"UNSCHEDULED",IF(H170="Custom","OK",IF(COUNTIF(Schedule!$C$5:$C$1204,A170)=IF(H170="Weekly",4,IF(H170="Fortnightly",2,1)),"OK","CHECK VISITS")))))</x:f>
      </x:c>
      <x:c r="N170" s="100" t="str">
        <x:f>IF(A170="","",IF(COUNTIF($A$5:$A$404,A170)&gt;1,"DUPLICATE CLIENT",IF(B170="Active",IF(OR(F170="",G170="",H170="",J170=""),"COMPLETE CLIENT",IF(COUNTIF(Teams!$A$5:$A$104,J170)=0,"TEAM NOT FOUND","OK")),"OK")))</x:f>
      </x:c>
    </x:row>
    <x:row r="171">
      <x:c r="L171" s="100" t="str">
        <x:f>IF(A171="","",IF(B171&lt;&gt;"Active","NOT REQUIRED",IF(COUNTIF('Client Services'!$A$5:$A$1004,A171)=0,"ADD SERVICES","OK")))</x:f>
      </x:c>
      <x:c r="M171" s="100" t="str">
        <x:f>IF(A171="","",IF(B171&lt;&gt;"Active","NOT REQUIRED",IF(COUNTIF(Schedule!$C$5:$C$1204,A171)=0,"UNSCHEDULED",IF(H171="Custom","OK",IF(COUNTIF(Schedule!$C$5:$C$1204,A171)=IF(H171="Weekly",4,IF(H171="Fortnightly",2,1)),"OK","CHECK VISITS")))))</x:f>
      </x:c>
      <x:c r="N171" s="100" t="str">
        <x:f>IF(A171="","",IF(COUNTIF($A$5:$A$404,A171)&gt;1,"DUPLICATE CLIENT",IF(B171="Active",IF(OR(F171="",G171="",H171="",J171=""),"COMPLETE CLIENT",IF(COUNTIF(Teams!$A$5:$A$104,J171)=0,"TEAM NOT FOUND","OK")),"OK")))</x:f>
      </x:c>
    </x:row>
    <x:row r="172">
      <x:c r="L172" s="100" t="str">
        <x:f>IF(A172="","",IF(B172&lt;&gt;"Active","NOT REQUIRED",IF(COUNTIF('Client Services'!$A$5:$A$1004,A172)=0,"ADD SERVICES","OK")))</x:f>
      </x:c>
      <x:c r="M172" s="100" t="str">
        <x:f>IF(A172="","",IF(B172&lt;&gt;"Active","NOT REQUIRED",IF(COUNTIF(Schedule!$C$5:$C$1204,A172)=0,"UNSCHEDULED",IF(H172="Custom","OK",IF(COUNTIF(Schedule!$C$5:$C$1204,A172)=IF(H172="Weekly",4,IF(H172="Fortnightly",2,1)),"OK","CHECK VISITS")))))</x:f>
      </x:c>
      <x:c r="N172" s="100" t="str">
        <x:f>IF(A172="","",IF(COUNTIF($A$5:$A$404,A172)&gt;1,"DUPLICATE CLIENT",IF(B172="Active",IF(OR(F172="",G172="",H172="",J172=""),"COMPLETE CLIENT",IF(COUNTIF(Teams!$A$5:$A$104,J172)=0,"TEAM NOT FOUND","OK")),"OK")))</x:f>
      </x:c>
    </x:row>
    <x:row r="173">
      <x:c r="L173" s="100" t="str">
        <x:f>IF(A173="","",IF(B173&lt;&gt;"Active","NOT REQUIRED",IF(COUNTIF('Client Services'!$A$5:$A$1004,A173)=0,"ADD SERVICES","OK")))</x:f>
      </x:c>
      <x:c r="M173" s="100" t="str">
        <x:f>IF(A173="","",IF(B173&lt;&gt;"Active","NOT REQUIRED",IF(COUNTIF(Schedule!$C$5:$C$1204,A173)=0,"UNSCHEDULED",IF(H173="Custom","OK",IF(COUNTIF(Schedule!$C$5:$C$1204,A173)=IF(H173="Weekly",4,IF(H173="Fortnightly",2,1)),"OK","CHECK VISITS")))))</x:f>
      </x:c>
      <x:c r="N173" s="100" t="str">
        <x:f>IF(A173="","",IF(COUNTIF($A$5:$A$404,A173)&gt;1,"DUPLICATE CLIENT",IF(B173="Active",IF(OR(F173="",G173="",H173="",J173=""),"COMPLETE CLIENT",IF(COUNTIF(Teams!$A$5:$A$104,J173)=0,"TEAM NOT FOUND","OK")),"OK")))</x:f>
      </x:c>
    </x:row>
    <x:row r="174">
      <x:c r="L174" s="100" t="str">
        <x:f>IF(A174="","",IF(B174&lt;&gt;"Active","NOT REQUIRED",IF(COUNTIF('Client Services'!$A$5:$A$1004,A174)=0,"ADD SERVICES","OK")))</x:f>
      </x:c>
      <x:c r="M174" s="100" t="str">
        <x:f>IF(A174="","",IF(B174&lt;&gt;"Active","NOT REQUIRED",IF(COUNTIF(Schedule!$C$5:$C$1204,A174)=0,"UNSCHEDULED",IF(H174="Custom","OK",IF(COUNTIF(Schedule!$C$5:$C$1204,A174)=IF(H174="Weekly",4,IF(H174="Fortnightly",2,1)),"OK","CHECK VISITS")))))</x:f>
      </x:c>
      <x:c r="N174" s="100" t="str">
        <x:f>IF(A174="","",IF(COUNTIF($A$5:$A$404,A174)&gt;1,"DUPLICATE CLIENT",IF(B174="Active",IF(OR(F174="",G174="",H174="",J174=""),"COMPLETE CLIENT",IF(COUNTIF(Teams!$A$5:$A$104,J174)=0,"TEAM NOT FOUND","OK")),"OK")))</x:f>
      </x:c>
    </x:row>
    <x:row r="175">
      <x:c r="L175" s="100" t="str">
        <x:f>IF(A175="","",IF(B175&lt;&gt;"Active","NOT REQUIRED",IF(COUNTIF('Client Services'!$A$5:$A$1004,A175)=0,"ADD SERVICES","OK")))</x:f>
      </x:c>
      <x:c r="M175" s="100" t="str">
        <x:f>IF(A175="","",IF(B175&lt;&gt;"Active","NOT REQUIRED",IF(COUNTIF(Schedule!$C$5:$C$1204,A175)=0,"UNSCHEDULED",IF(H175="Custom","OK",IF(COUNTIF(Schedule!$C$5:$C$1204,A175)=IF(H175="Weekly",4,IF(H175="Fortnightly",2,1)),"OK","CHECK VISITS")))))</x:f>
      </x:c>
      <x:c r="N175" s="100" t="str">
        <x:f>IF(A175="","",IF(COUNTIF($A$5:$A$404,A175)&gt;1,"DUPLICATE CLIENT",IF(B175="Active",IF(OR(F175="",G175="",H175="",J175=""),"COMPLETE CLIENT",IF(COUNTIF(Teams!$A$5:$A$104,J175)=0,"TEAM NOT FOUND","OK")),"OK")))</x:f>
      </x:c>
    </x:row>
    <x:row r="176">
      <x:c r="L176" s="100" t="str">
        <x:f>IF(A176="","",IF(B176&lt;&gt;"Active","NOT REQUIRED",IF(COUNTIF('Client Services'!$A$5:$A$1004,A176)=0,"ADD SERVICES","OK")))</x:f>
      </x:c>
      <x:c r="M176" s="100" t="str">
        <x:f>IF(A176="","",IF(B176&lt;&gt;"Active","NOT REQUIRED",IF(COUNTIF(Schedule!$C$5:$C$1204,A176)=0,"UNSCHEDULED",IF(H176="Custom","OK",IF(COUNTIF(Schedule!$C$5:$C$1204,A176)=IF(H176="Weekly",4,IF(H176="Fortnightly",2,1)),"OK","CHECK VISITS")))))</x:f>
      </x:c>
      <x:c r="N176" s="100" t="str">
        <x:f>IF(A176="","",IF(COUNTIF($A$5:$A$404,A176)&gt;1,"DUPLICATE CLIENT",IF(B176="Active",IF(OR(F176="",G176="",H176="",J176=""),"COMPLETE CLIENT",IF(COUNTIF(Teams!$A$5:$A$104,J176)=0,"TEAM NOT FOUND","OK")),"OK")))</x:f>
      </x:c>
    </x:row>
    <x:row r="177">
      <x:c r="L177" s="100" t="str">
        <x:f>IF(A177="","",IF(B177&lt;&gt;"Active","NOT REQUIRED",IF(COUNTIF('Client Services'!$A$5:$A$1004,A177)=0,"ADD SERVICES","OK")))</x:f>
      </x:c>
      <x:c r="M177" s="100" t="str">
        <x:f>IF(A177="","",IF(B177&lt;&gt;"Active","NOT REQUIRED",IF(COUNTIF(Schedule!$C$5:$C$1204,A177)=0,"UNSCHEDULED",IF(H177="Custom","OK",IF(COUNTIF(Schedule!$C$5:$C$1204,A177)=IF(H177="Weekly",4,IF(H177="Fortnightly",2,1)),"OK","CHECK VISITS")))))</x:f>
      </x:c>
      <x:c r="N177" s="100" t="str">
        <x:f>IF(A177="","",IF(COUNTIF($A$5:$A$404,A177)&gt;1,"DUPLICATE CLIENT",IF(B177="Active",IF(OR(F177="",G177="",H177="",J177=""),"COMPLETE CLIENT",IF(COUNTIF(Teams!$A$5:$A$104,J177)=0,"TEAM NOT FOUND","OK")),"OK")))</x:f>
      </x:c>
    </x:row>
    <x:row r="178">
      <x:c r="L178" s="100" t="str">
        <x:f>IF(A178="","",IF(B178&lt;&gt;"Active","NOT REQUIRED",IF(COUNTIF('Client Services'!$A$5:$A$1004,A178)=0,"ADD SERVICES","OK")))</x:f>
      </x:c>
      <x:c r="M178" s="100" t="str">
        <x:f>IF(A178="","",IF(B178&lt;&gt;"Active","NOT REQUIRED",IF(COUNTIF(Schedule!$C$5:$C$1204,A178)=0,"UNSCHEDULED",IF(H178="Custom","OK",IF(COUNTIF(Schedule!$C$5:$C$1204,A178)=IF(H178="Weekly",4,IF(H178="Fortnightly",2,1)),"OK","CHECK VISITS")))))</x:f>
      </x:c>
      <x:c r="N178" s="100" t="str">
        <x:f>IF(A178="","",IF(COUNTIF($A$5:$A$404,A178)&gt;1,"DUPLICATE CLIENT",IF(B178="Active",IF(OR(F178="",G178="",H178="",J178=""),"COMPLETE CLIENT",IF(COUNTIF(Teams!$A$5:$A$104,J178)=0,"TEAM NOT FOUND","OK")),"OK")))</x:f>
      </x:c>
    </x:row>
    <x:row r="179">
      <x:c r="L179" s="100" t="str">
        <x:f>IF(A179="","",IF(B179&lt;&gt;"Active","NOT REQUIRED",IF(COUNTIF('Client Services'!$A$5:$A$1004,A179)=0,"ADD SERVICES","OK")))</x:f>
      </x:c>
      <x:c r="M179" s="100" t="str">
        <x:f>IF(A179="","",IF(B179&lt;&gt;"Active","NOT REQUIRED",IF(COUNTIF(Schedule!$C$5:$C$1204,A179)=0,"UNSCHEDULED",IF(H179="Custom","OK",IF(COUNTIF(Schedule!$C$5:$C$1204,A179)=IF(H179="Weekly",4,IF(H179="Fortnightly",2,1)),"OK","CHECK VISITS")))))</x:f>
      </x:c>
      <x:c r="N179" s="100" t="str">
        <x:f>IF(A179="","",IF(COUNTIF($A$5:$A$404,A179)&gt;1,"DUPLICATE CLIENT",IF(B179="Active",IF(OR(F179="",G179="",H179="",J179=""),"COMPLETE CLIENT",IF(COUNTIF(Teams!$A$5:$A$104,J179)=0,"TEAM NOT FOUND","OK")),"OK")))</x:f>
      </x:c>
    </x:row>
    <x:row r="180">
      <x:c r="L180" s="100" t="str">
        <x:f>IF(A180="","",IF(B180&lt;&gt;"Active","NOT REQUIRED",IF(COUNTIF('Client Services'!$A$5:$A$1004,A180)=0,"ADD SERVICES","OK")))</x:f>
      </x:c>
      <x:c r="M180" s="100" t="str">
        <x:f>IF(A180="","",IF(B180&lt;&gt;"Active","NOT REQUIRED",IF(COUNTIF(Schedule!$C$5:$C$1204,A180)=0,"UNSCHEDULED",IF(H180="Custom","OK",IF(COUNTIF(Schedule!$C$5:$C$1204,A180)=IF(H180="Weekly",4,IF(H180="Fortnightly",2,1)),"OK","CHECK VISITS")))))</x:f>
      </x:c>
      <x:c r="N180" s="100" t="str">
        <x:f>IF(A180="","",IF(COUNTIF($A$5:$A$404,A180)&gt;1,"DUPLICATE CLIENT",IF(B180="Active",IF(OR(F180="",G180="",H180="",J180=""),"COMPLETE CLIENT",IF(COUNTIF(Teams!$A$5:$A$104,J180)=0,"TEAM NOT FOUND","OK")),"OK")))</x:f>
      </x:c>
    </x:row>
    <x:row r="181">
      <x:c r="L181" s="100" t="str">
        <x:f>IF(A181="","",IF(B181&lt;&gt;"Active","NOT REQUIRED",IF(COUNTIF('Client Services'!$A$5:$A$1004,A181)=0,"ADD SERVICES","OK")))</x:f>
      </x:c>
      <x:c r="M181" s="100" t="str">
        <x:f>IF(A181="","",IF(B181&lt;&gt;"Active","NOT REQUIRED",IF(COUNTIF(Schedule!$C$5:$C$1204,A181)=0,"UNSCHEDULED",IF(H181="Custom","OK",IF(COUNTIF(Schedule!$C$5:$C$1204,A181)=IF(H181="Weekly",4,IF(H181="Fortnightly",2,1)),"OK","CHECK VISITS")))))</x:f>
      </x:c>
      <x:c r="N181" s="100" t="str">
        <x:f>IF(A181="","",IF(COUNTIF($A$5:$A$404,A181)&gt;1,"DUPLICATE CLIENT",IF(B181="Active",IF(OR(F181="",G181="",H181="",J181=""),"COMPLETE CLIENT",IF(COUNTIF(Teams!$A$5:$A$104,J181)=0,"TEAM NOT FOUND","OK")),"OK")))</x:f>
      </x:c>
    </x:row>
    <x:row r="182">
      <x:c r="L182" s="100" t="str">
        <x:f>IF(A182="","",IF(B182&lt;&gt;"Active","NOT REQUIRED",IF(COUNTIF('Client Services'!$A$5:$A$1004,A182)=0,"ADD SERVICES","OK")))</x:f>
      </x:c>
      <x:c r="M182" s="100" t="str">
        <x:f>IF(A182="","",IF(B182&lt;&gt;"Active","NOT REQUIRED",IF(COUNTIF(Schedule!$C$5:$C$1204,A182)=0,"UNSCHEDULED",IF(H182="Custom","OK",IF(COUNTIF(Schedule!$C$5:$C$1204,A182)=IF(H182="Weekly",4,IF(H182="Fortnightly",2,1)),"OK","CHECK VISITS")))))</x:f>
      </x:c>
      <x:c r="N182" s="100" t="str">
        <x:f>IF(A182="","",IF(COUNTIF($A$5:$A$404,A182)&gt;1,"DUPLICATE CLIENT",IF(B182="Active",IF(OR(F182="",G182="",H182="",J182=""),"COMPLETE CLIENT",IF(COUNTIF(Teams!$A$5:$A$104,J182)=0,"TEAM NOT FOUND","OK")),"OK")))</x:f>
      </x:c>
    </x:row>
    <x:row r="183">
      <x:c r="L183" s="100" t="str">
        <x:f>IF(A183="","",IF(B183&lt;&gt;"Active","NOT REQUIRED",IF(COUNTIF('Client Services'!$A$5:$A$1004,A183)=0,"ADD SERVICES","OK")))</x:f>
      </x:c>
      <x:c r="M183" s="100" t="str">
        <x:f>IF(A183="","",IF(B183&lt;&gt;"Active","NOT REQUIRED",IF(COUNTIF(Schedule!$C$5:$C$1204,A183)=0,"UNSCHEDULED",IF(H183="Custom","OK",IF(COUNTIF(Schedule!$C$5:$C$1204,A183)=IF(H183="Weekly",4,IF(H183="Fortnightly",2,1)),"OK","CHECK VISITS")))))</x:f>
      </x:c>
      <x:c r="N183" s="100" t="str">
        <x:f>IF(A183="","",IF(COUNTIF($A$5:$A$404,A183)&gt;1,"DUPLICATE CLIENT",IF(B183="Active",IF(OR(F183="",G183="",H183="",J183=""),"COMPLETE CLIENT",IF(COUNTIF(Teams!$A$5:$A$104,J183)=0,"TEAM NOT FOUND","OK")),"OK")))</x:f>
      </x:c>
    </x:row>
    <x:row r="184">
      <x:c r="L184" s="100" t="str">
        <x:f>IF(A184="","",IF(B184&lt;&gt;"Active","NOT REQUIRED",IF(COUNTIF('Client Services'!$A$5:$A$1004,A184)=0,"ADD SERVICES","OK")))</x:f>
      </x:c>
      <x:c r="M184" s="100" t="str">
        <x:f>IF(A184="","",IF(B184&lt;&gt;"Active","NOT REQUIRED",IF(COUNTIF(Schedule!$C$5:$C$1204,A184)=0,"UNSCHEDULED",IF(H184="Custom","OK",IF(COUNTIF(Schedule!$C$5:$C$1204,A184)=IF(H184="Weekly",4,IF(H184="Fortnightly",2,1)),"OK","CHECK VISITS")))))</x:f>
      </x:c>
      <x:c r="N184" s="100" t="str">
        <x:f>IF(A184="","",IF(COUNTIF($A$5:$A$404,A184)&gt;1,"DUPLICATE CLIENT",IF(B184="Active",IF(OR(F184="",G184="",H184="",J184=""),"COMPLETE CLIENT",IF(COUNTIF(Teams!$A$5:$A$104,J184)=0,"TEAM NOT FOUND","OK")),"OK")))</x:f>
      </x:c>
    </x:row>
    <x:row r="185">
      <x:c r="L185" s="100" t="str">
        <x:f>IF(A185="","",IF(B185&lt;&gt;"Active","NOT REQUIRED",IF(COUNTIF('Client Services'!$A$5:$A$1004,A185)=0,"ADD SERVICES","OK")))</x:f>
      </x:c>
      <x:c r="M185" s="100" t="str">
        <x:f>IF(A185="","",IF(B185&lt;&gt;"Active","NOT REQUIRED",IF(COUNTIF(Schedule!$C$5:$C$1204,A185)=0,"UNSCHEDULED",IF(H185="Custom","OK",IF(COUNTIF(Schedule!$C$5:$C$1204,A185)=IF(H185="Weekly",4,IF(H185="Fortnightly",2,1)),"OK","CHECK VISITS")))))</x:f>
      </x:c>
      <x:c r="N185" s="100" t="str">
        <x:f>IF(A185="","",IF(COUNTIF($A$5:$A$404,A185)&gt;1,"DUPLICATE CLIENT",IF(B185="Active",IF(OR(F185="",G185="",H185="",J185=""),"COMPLETE CLIENT",IF(COUNTIF(Teams!$A$5:$A$104,J185)=0,"TEAM NOT FOUND","OK")),"OK")))</x:f>
      </x:c>
    </x:row>
    <x:row r="186">
      <x:c r="L186" s="100" t="str">
        <x:f>IF(A186="","",IF(B186&lt;&gt;"Active","NOT REQUIRED",IF(COUNTIF('Client Services'!$A$5:$A$1004,A186)=0,"ADD SERVICES","OK")))</x:f>
      </x:c>
      <x:c r="M186" s="100" t="str">
        <x:f>IF(A186="","",IF(B186&lt;&gt;"Active","NOT REQUIRED",IF(COUNTIF(Schedule!$C$5:$C$1204,A186)=0,"UNSCHEDULED",IF(H186="Custom","OK",IF(COUNTIF(Schedule!$C$5:$C$1204,A186)=IF(H186="Weekly",4,IF(H186="Fortnightly",2,1)),"OK","CHECK VISITS")))))</x:f>
      </x:c>
      <x:c r="N186" s="100" t="str">
        <x:f>IF(A186="","",IF(COUNTIF($A$5:$A$404,A186)&gt;1,"DUPLICATE CLIENT",IF(B186="Active",IF(OR(F186="",G186="",H186="",J186=""),"COMPLETE CLIENT",IF(COUNTIF(Teams!$A$5:$A$104,J186)=0,"TEAM NOT FOUND","OK")),"OK")))</x:f>
      </x:c>
    </x:row>
    <x:row r="187">
      <x:c r="L187" s="100" t="str">
        <x:f>IF(A187="","",IF(B187&lt;&gt;"Active","NOT REQUIRED",IF(COUNTIF('Client Services'!$A$5:$A$1004,A187)=0,"ADD SERVICES","OK")))</x:f>
      </x:c>
      <x:c r="M187" s="100" t="str">
        <x:f>IF(A187="","",IF(B187&lt;&gt;"Active","NOT REQUIRED",IF(COUNTIF(Schedule!$C$5:$C$1204,A187)=0,"UNSCHEDULED",IF(H187="Custom","OK",IF(COUNTIF(Schedule!$C$5:$C$1204,A187)=IF(H187="Weekly",4,IF(H187="Fortnightly",2,1)),"OK","CHECK VISITS")))))</x:f>
      </x:c>
      <x:c r="N187" s="100" t="str">
        <x:f>IF(A187="","",IF(COUNTIF($A$5:$A$404,A187)&gt;1,"DUPLICATE CLIENT",IF(B187="Active",IF(OR(F187="",G187="",H187="",J187=""),"COMPLETE CLIENT",IF(COUNTIF(Teams!$A$5:$A$104,J187)=0,"TEAM NOT FOUND","OK")),"OK")))</x:f>
      </x:c>
    </x:row>
    <x:row r="188">
      <x:c r="L188" s="100" t="str">
        <x:f>IF(A188="","",IF(B188&lt;&gt;"Active","NOT REQUIRED",IF(COUNTIF('Client Services'!$A$5:$A$1004,A188)=0,"ADD SERVICES","OK")))</x:f>
      </x:c>
      <x:c r="M188" s="100" t="str">
        <x:f>IF(A188="","",IF(B188&lt;&gt;"Active","NOT REQUIRED",IF(COUNTIF(Schedule!$C$5:$C$1204,A188)=0,"UNSCHEDULED",IF(H188="Custom","OK",IF(COUNTIF(Schedule!$C$5:$C$1204,A188)=IF(H188="Weekly",4,IF(H188="Fortnightly",2,1)),"OK","CHECK VISITS")))))</x:f>
      </x:c>
      <x:c r="N188" s="100" t="str">
        <x:f>IF(A188="","",IF(COUNTIF($A$5:$A$404,A188)&gt;1,"DUPLICATE CLIENT",IF(B188="Active",IF(OR(F188="",G188="",H188="",J188=""),"COMPLETE CLIENT",IF(COUNTIF(Teams!$A$5:$A$104,J188)=0,"TEAM NOT FOUND","OK")),"OK")))</x:f>
      </x:c>
    </x:row>
    <x:row r="189">
      <x:c r="L189" s="100" t="str">
        <x:f>IF(A189="","",IF(B189&lt;&gt;"Active","NOT REQUIRED",IF(COUNTIF('Client Services'!$A$5:$A$1004,A189)=0,"ADD SERVICES","OK")))</x:f>
      </x:c>
      <x:c r="M189" s="100" t="str">
        <x:f>IF(A189="","",IF(B189&lt;&gt;"Active","NOT REQUIRED",IF(COUNTIF(Schedule!$C$5:$C$1204,A189)=0,"UNSCHEDULED",IF(H189="Custom","OK",IF(COUNTIF(Schedule!$C$5:$C$1204,A189)=IF(H189="Weekly",4,IF(H189="Fortnightly",2,1)),"OK","CHECK VISITS")))))</x:f>
      </x:c>
      <x:c r="N189" s="100" t="str">
        <x:f>IF(A189="","",IF(COUNTIF($A$5:$A$404,A189)&gt;1,"DUPLICATE CLIENT",IF(B189="Active",IF(OR(F189="",G189="",H189="",J189=""),"COMPLETE CLIENT",IF(COUNTIF(Teams!$A$5:$A$104,J189)=0,"TEAM NOT FOUND","OK")),"OK")))</x:f>
      </x:c>
    </x:row>
    <x:row r="190">
      <x:c r="L190" s="100" t="str">
        <x:f>IF(A190="","",IF(B190&lt;&gt;"Active","NOT REQUIRED",IF(COUNTIF('Client Services'!$A$5:$A$1004,A190)=0,"ADD SERVICES","OK")))</x:f>
      </x:c>
      <x:c r="M190" s="100" t="str">
        <x:f>IF(A190="","",IF(B190&lt;&gt;"Active","NOT REQUIRED",IF(COUNTIF(Schedule!$C$5:$C$1204,A190)=0,"UNSCHEDULED",IF(H190="Custom","OK",IF(COUNTIF(Schedule!$C$5:$C$1204,A190)=IF(H190="Weekly",4,IF(H190="Fortnightly",2,1)),"OK","CHECK VISITS")))))</x:f>
      </x:c>
      <x:c r="N190" s="100" t="str">
        <x:f>IF(A190="","",IF(COUNTIF($A$5:$A$404,A190)&gt;1,"DUPLICATE CLIENT",IF(B190="Active",IF(OR(F190="",G190="",H190="",J190=""),"COMPLETE CLIENT",IF(COUNTIF(Teams!$A$5:$A$104,J190)=0,"TEAM NOT FOUND","OK")),"OK")))</x:f>
      </x:c>
    </x:row>
    <x:row r="191">
      <x:c r="L191" s="100" t="str">
        <x:f>IF(A191="","",IF(B191&lt;&gt;"Active","NOT REQUIRED",IF(COUNTIF('Client Services'!$A$5:$A$1004,A191)=0,"ADD SERVICES","OK")))</x:f>
      </x:c>
      <x:c r="M191" s="100" t="str">
        <x:f>IF(A191="","",IF(B191&lt;&gt;"Active","NOT REQUIRED",IF(COUNTIF(Schedule!$C$5:$C$1204,A191)=0,"UNSCHEDULED",IF(H191="Custom","OK",IF(COUNTIF(Schedule!$C$5:$C$1204,A191)=IF(H191="Weekly",4,IF(H191="Fortnightly",2,1)),"OK","CHECK VISITS")))))</x:f>
      </x:c>
      <x:c r="N191" s="100" t="str">
        <x:f>IF(A191="","",IF(COUNTIF($A$5:$A$404,A191)&gt;1,"DUPLICATE CLIENT",IF(B191="Active",IF(OR(F191="",G191="",H191="",J191=""),"COMPLETE CLIENT",IF(COUNTIF(Teams!$A$5:$A$104,J191)=0,"TEAM NOT FOUND","OK")),"OK")))</x:f>
      </x:c>
    </x:row>
    <x:row r="192">
      <x:c r="L192" s="100" t="str">
        <x:f>IF(A192="","",IF(B192&lt;&gt;"Active","NOT REQUIRED",IF(COUNTIF('Client Services'!$A$5:$A$1004,A192)=0,"ADD SERVICES","OK")))</x:f>
      </x:c>
      <x:c r="M192" s="100" t="str">
        <x:f>IF(A192="","",IF(B192&lt;&gt;"Active","NOT REQUIRED",IF(COUNTIF(Schedule!$C$5:$C$1204,A192)=0,"UNSCHEDULED",IF(H192="Custom","OK",IF(COUNTIF(Schedule!$C$5:$C$1204,A192)=IF(H192="Weekly",4,IF(H192="Fortnightly",2,1)),"OK","CHECK VISITS")))))</x:f>
      </x:c>
      <x:c r="N192" s="100" t="str">
        <x:f>IF(A192="","",IF(COUNTIF($A$5:$A$404,A192)&gt;1,"DUPLICATE CLIENT",IF(B192="Active",IF(OR(F192="",G192="",H192="",J192=""),"COMPLETE CLIENT",IF(COUNTIF(Teams!$A$5:$A$104,J192)=0,"TEAM NOT FOUND","OK")),"OK")))</x:f>
      </x:c>
    </x:row>
    <x:row r="193">
      <x:c r="L193" s="100" t="str">
        <x:f>IF(A193="","",IF(B193&lt;&gt;"Active","NOT REQUIRED",IF(COUNTIF('Client Services'!$A$5:$A$1004,A193)=0,"ADD SERVICES","OK")))</x:f>
      </x:c>
      <x:c r="M193" s="100" t="str">
        <x:f>IF(A193="","",IF(B193&lt;&gt;"Active","NOT REQUIRED",IF(COUNTIF(Schedule!$C$5:$C$1204,A193)=0,"UNSCHEDULED",IF(H193="Custom","OK",IF(COUNTIF(Schedule!$C$5:$C$1204,A193)=IF(H193="Weekly",4,IF(H193="Fortnightly",2,1)),"OK","CHECK VISITS")))))</x:f>
      </x:c>
      <x:c r="N193" s="100" t="str">
        <x:f>IF(A193="","",IF(COUNTIF($A$5:$A$404,A193)&gt;1,"DUPLICATE CLIENT",IF(B193="Active",IF(OR(F193="",G193="",H193="",J193=""),"COMPLETE CLIENT",IF(COUNTIF(Teams!$A$5:$A$104,J193)=0,"TEAM NOT FOUND","OK")),"OK")))</x:f>
      </x:c>
    </x:row>
    <x:row r="194">
      <x:c r="L194" s="100" t="str">
        <x:f>IF(A194="","",IF(B194&lt;&gt;"Active","NOT REQUIRED",IF(COUNTIF('Client Services'!$A$5:$A$1004,A194)=0,"ADD SERVICES","OK")))</x:f>
      </x:c>
      <x:c r="M194" s="100" t="str">
        <x:f>IF(A194="","",IF(B194&lt;&gt;"Active","NOT REQUIRED",IF(COUNTIF(Schedule!$C$5:$C$1204,A194)=0,"UNSCHEDULED",IF(H194="Custom","OK",IF(COUNTIF(Schedule!$C$5:$C$1204,A194)=IF(H194="Weekly",4,IF(H194="Fortnightly",2,1)),"OK","CHECK VISITS")))))</x:f>
      </x:c>
      <x:c r="N194" s="100" t="str">
        <x:f>IF(A194="","",IF(COUNTIF($A$5:$A$404,A194)&gt;1,"DUPLICATE CLIENT",IF(B194="Active",IF(OR(F194="",G194="",H194="",J194=""),"COMPLETE CLIENT",IF(COUNTIF(Teams!$A$5:$A$104,J194)=0,"TEAM NOT FOUND","OK")),"OK")))</x:f>
      </x:c>
    </x:row>
    <x:row r="195">
      <x:c r="L195" s="100" t="str">
        <x:f>IF(A195="","",IF(B195&lt;&gt;"Active","NOT REQUIRED",IF(COUNTIF('Client Services'!$A$5:$A$1004,A195)=0,"ADD SERVICES","OK")))</x:f>
      </x:c>
      <x:c r="M195" s="100" t="str">
        <x:f>IF(A195="","",IF(B195&lt;&gt;"Active","NOT REQUIRED",IF(COUNTIF(Schedule!$C$5:$C$1204,A195)=0,"UNSCHEDULED",IF(H195="Custom","OK",IF(COUNTIF(Schedule!$C$5:$C$1204,A195)=IF(H195="Weekly",4,IF(H195="Fortnightly",2,1)),"OK","CHECK VISITS")))))</x:f>
      </x:c>
      <x:c r="N195" s="100" t="str">
        <x:f>IF(A195="","",IF(COUNTIF($A$5:$A$404,A195)&gt;1,"DUPLICATE CLIENT",IF(B195="Active",IF(OR(F195="",G195="",H195="",J195=""),"COMPLETE CLIENT",IF(COUNTIF(Teams!$A$5:$A$104,J195)=0,"TEAM NOT FOUND","OK")),"OK")))</x:f>
      </x:c>
    </x:row>
    <x:row r="196">
      <x:c r="L196" s="100" t="str">
        <x:f>IF(A196="","",IF(B196&lt;&gt;"Active","NOT REQUIRED",IF(COUNTIF('Client Services'!$A$5:$A$1004,A196)=0,"ADD SERVICES","OK")))</x:f>
      </x:c>
      <x:c r="M196" s="100" t="str">
        <x:f>IF(A196="","",IF(B196&lt;&gt;"Active","NOT REQUIRED",IF(COUNTIF(Schedule!$C$5:$C$1204,A196)=0,"UNSCHEDULED",IF(H196="Custom","OK",IF(COUNTIF(Schedule!$C$5:$C$1204,A196)=IF(H196="Weekly",4,IF(H196="Fortnightly",2,1)),"OK","CHECK VISITS")))))</x:f>
      </x:c>
      <x:c r="N196" s="100" t="str">
        <x:f>IF(A196="","",IF(COUNTIF($A$5:$A$404,A196)&gt;1,"DUPLICATE CLIENT",IF(B196="Active",IF(OR(F196="",G196="",H196="",J196=""),"COMPLETE CLIENT",IF(COUNTIF(Teams!$A$5:$A$104,J196)=0,"TEAM NOT FOUND","OK")),"OK")))</x:f>
      </x:c>
    </x:row>
    <x:row r="197">
      <x:c r="L197" s="100" t="str">
        <x:f>IF(A197="","",IF(B197&lt;&gt;"Active","NOT REQUIRED",IF(COUNTIF('Client Services'!$A$5:$A$1004,A197)=0,"ADD SERVICES","OK")))</x:f>
      </x:c>
      <x:c r="M197" s="100" t="str">
        <x:f>IF(A197="","",IF(B197&lt;&gt;"Active","NOT REQUIRED",IF(COUNTIF(Schedule!$C$5:$C$1204,A197)=0,"UNSCHEDULED",IF(H197="Custom","OK",IF(COUNTIF(Schedule!$C$5:$C$1204,A197)=IF(H197="Weekly",4,IF(H197="Fortnightly",2,1)),"OK","CHECK VISITS")))))</x:f>
      </x:c>
      <x:c r="N197" s="100" t="str">
        <x:f>IF(A197="","",IF(COUNTIF($A$5:$A$404,A197)&gt;1,"DUPLICATE CLIENT",IF(B197="Active",IF(OR(F197="",G197="",H197="",J197=""),"COMPLETE CLIENT",IF(COUNTIF(Teams!$A$5:$A$104,J197)=0,"TEAM NOT FOUND","OK")),"OK")))</x:f>
      </x:c>
    </x:row>
    <x:row r="198">
      <x:c r="L198" s="100" t="str">
        <x:f>IF(A198="","",IF(B198&lt;&gt;"Active","NOT REQUIRED",IF(COUNTIF('Client Services'!$A$5:$A$1004,A198)=0,"ADD SERVICES","OK")))</x:f>
      </x:c>
      <x:c r="M198" s="100" t="str">
        <x:f>IF(A198="","",IF(B198&lt;&gt;"Active","NOT REQUIRED",IF(COUNTIF(Schedule!$C$5:$C$1204,A198)=0,"UNSCHEDULED",IF(H198="Custom","OK",IF(COUNTIF(Schedule!$C$5:$C$1204,A198)=IF(H198="Weekly",4,IF(H198="Fortnightly",2,1)),"OK","CHECK VISITS")))))</x:f>
      </x:c>
      <x:c r="N198" s="100" t="str">
        <x:f>IF(A198="","",IF(COUNTIF($A$5:$A$404,A198)&gt;1,"DUPLICATE CLIENT",IF(B198="Active",IF(OR(F198="",G198="",H198="",J198=""),"COMPLETE CLIENT",IF(COUNTIF(Teams!$A$5:$A$104,J198)=0,"TEAM NOT FOUND","OK")),"OK")))</x:f>
      </x:c>
    </x:row>
    <x:row r="199">
      <x:c r="L199" s="100" t="str">
        <x:f>IF(A199="","",IF(B199&lt;&gt;"Active","NOT REQUIRED",IF(COUNTIF('Client Services'!$A$5:$A$1004,A199)=0,"ADD SERVICES","OK")))</x:f>
      </x:c>
      <x:c r="M199" s="100" t="str">
        <x:f>IF(A199="","",IF(B199&lt;&gt;"Active","NOT REQUIRED",IF(COUNTIF(Schedule!$C$5:$C$1204,A199)=0,"UNSCHEDULED",IF(H199="Custom","OK",IF(COUNTIF(Schedule!$C$5:$C$1204,A199)=IF(H199="Weekly",4,IF(H199="Fortnightly",2,1)),"OK","CHECK VISITS")))))</x:f>
      </x:c>
      <x:c r="N199" s="100" t="str">
        <x:f>IF(A199="","",IF(COUNTIF($A$5:$A$404,A199)&gt;1,"DUPLICATE CLIENT",IF(B199="Active",IF(OR(F199="",G199="",H199="",J199=""),"COMPLETE CLIENT",IF(COUNTIF(Teams!$A$5:$A$104,J199)=0,"TEAM NOT FOUND","OK")),"OK")))</x:f>
      </x:c>
    </x:row>
    <x:row r="200">
      <x:c r="L200" s="100" t="str">
        <x:f>IF(A200="","",IF(B200&lt;&gt;"Active","NOT REQUIRED",IF(COUNTIF('Client Services'!$A$5:$A$1004,A200)=0,"ADD SERVICES","OK")))</x:f>
      </x:c>
      <x:c r="M200" s="100" t="str">
        <x:f>IF(A200="","",IF(B200&lt;&gt;"Active","NOT REQUIRED",IF(COUNTIF(Schedule!$C$5:$C$1204,A200)=0,"UNSCHEDULED",IF(H200="Custom","OK",IF(COUNTIF(Schedule!$C$5:$C$1204,A200)=IF(H200="Weekly",4,IF(H200="Fortnightly",2,1)),"OK","CHECK VISITS")))))</x:f>
      </x:c>
      <x:c r="N200" s="100" t="str">
        <x:f>IF(A200="","",IF(COUNTIF($A$5:$A$404,A200)&gt;1,"DUPLICATE CLIENT",IF(B200="Active",IF(OR(F200="",G200="",H200="",J200=""),"COMPLETE CLIENT",IF(COUNTIF(Teams!$A$5:$A$104,J200)=0,"TEAM NOT FOUND","OK")),"OK")))</x:f>
      </x:c>
    </x:row>
    <x:row r="201">
      <x:c r="L201" s="100" t="str">
        <x:f>IF(A201="","",IF(B201&lt;&gt;"Active","NOT REQUIRED",IF(COUNTIF('Client Services'!$A$5:$A$1004,A201)=0,"ADD SERVICES","OK")))</x:f>
      </x:c>
      <x:c r="M201" s="100" t="str">
        <x:f>IF(A201="","",IF(B201&lt;&gt;"Active","NOT REQUIRED",IF(COUNTIF(Schedule!$C$5:$C$1204,A201)=0,"UNSCHEDULED",IF(H201="Custom","OK",IF(COUNTIF(Schedule!$C$5:$C$1204,A201)=IF(H201="Weekly",4,IF(H201="Fortnightly",2,1)),"OK","CHECK VISITS")))))</x:f>
      </x:c>
      <x:c r="N201" s="100" t="str">
        <x:f>IF(A201="","",IF(COUNTIF($A$5:$A$404,A201)&gt;1,"DUPLICATE CLIENT",IF(B201="Active",IF(OR(F201="",G201="",H201="",J201=""),"COMPLETE CLIENT",IF(COUNTIF(Teams!$A$5:$A$104,J201)=0,"TEAM NOT FOUND","OK")),"OK")))</x:f>
      </x:c>
    </x:row>
    <x:row r="202">
      <x:c r="L202" s="100" t="str">
        <x:f>IF(A202="","",IF(B202&lt;&gt;"Active","NOT REQUIRED",IF(COUNTIF('Client Services'!$A$5:$A$1004,A202)=0,"ADD SERVICES","OK")))</x:f>
      </x:c>
      <x:c r="M202" s="100" t="str">
        <x:f>IF(A202="","",IF(B202&lt;&gt;"Active","NOT REQUIRED",IF(COUNTIF(Schedule!$C$5:$C$1204,A202)=0,"UNSCHEDULED",IF(H202="Custom","OK",IF(COUNTIF(Schedule!$C$5:$C$1204,A202)=IF(H202="Weekly",4,IF(H202="Fortnightly",2,1)),"OK","CHECK VISITS")))))</x:f>
      </x:c>
      <x:c r="N202" s="100" t="str">
        <x:f>IF(A202="","",IF(COUNTIF($A$5:$A$404,A202)&gt;1,"DUPLICATE CLIENT",IF(B202="Active",IF(OR(F202="",G202="",H202="",J202=""),"COMPLETE CLIENT",IF(COUNTIF(Teams!$A$5:$A$104,J202)=0,"TEAM NOT FOUND","OK")),"OK")))</x:f>
      </x:c>
    </x:row>
    <x:row r="203">
      <x:c r="L203" s="100" t="str">
        <x:f>IF(A203="","",IF(B203&lt;&gt;"Active","NOT REQUIRED",IF(COUNTIF('Client Services'!$A$5:$A$1004,A203)=0,"ADD SERVICES","OK")))</x:f>
      </x:c>
      <x:c r="M203" s="100" t="str">
        <x:f>IF(A203="","",IF(B203&lt;&gt;"Active","NOT REQUIRED",IF(COUNTIF(Schedule!$C$5:$C$1204,A203)=0,"UNSCHEDULED",IF(H203="Custom","OK",IF(COUNTIF(Schedule!$C$5:$C$1204,A203)=IF(H203="Weekly",4,IF(H203="Fortnightly",2,1)),"OK","CHECK VISITS")))))</x:f>
      </x:c>
      <x:c r="N203" s="100" t="str">
        <x:f>IF(A203="","",IF(COUNTIF($A$5:$A$404,A203)&gt;1,"DUPLICATE CLIENT",IF(B203="Active",IF(OR(F203="",G203="",H203="",J203=""),"COMPLETE CLIENT",IF(COUNTIF(Teams!$A$5:$A$104,J203)=0,"TEAM NOT FOUND","OK")),"OK")))</x:f>
      </x:c>
    </x:row>
    <x:row r="204">
      <x:c r="L204" s="100" t="str">
        <x:f>IF(A204="","",IF(B204&lt;&gt;"Active","NOT REQUIRED",IF(COUNTIF('Client Services'!$A$5:$A$1004,A204)=0,"ADD SERVICES","OK")))</x:f>
      </x:c>
      <x:c r="M204" s="100" t="str">
        <x:f>IF(A204="","",IF(B204&lt;&gt;"Active","NOT REQUIRED",IF(COUNTIF(Schedule!$C$5:$C$1204,A204)=0,"UNSCHEDULED",IF(H204="Custom","OK",IF(COUNTIF(Schedule!$C$5:$C$1204,A204)=IF(H204="Weekly",4,IF(H204="Fortnightly",2,1)),"OK","CHECK VISITS")))))</x:f>
      </x:c>
      <x:c r="N204" s="100" t="str">
        <x:f>IF(A204="","",IF(COUNTIF($A$5:$A$404,A204)&gt;1,"DUPLICATE CLIENT",IF(B204="Active",IF(OR(F204="",G204="",H204="",J204=""),"COMPLETE CLIENT",IF(COUNTIF(Teams!$A$5:$A$104,J204)=0,"TEAM NOT FOUND","OK")),"OK")))</x:f>
      </x:c>
    </x:row>
    <x:row r="205">
      <x:c r="L205" s="100" t="str">
        <x:f>IF(A205="","",IF(B205&lt;&gt;"Active","NOT REQUIRED",IF(COUNTIF('Client Services'!$A$5:$A$1004,A205)=0,"ADD SERVICES","OK")))</x:f>
      </x:c>
      <x:c r="M205" s="100" t="str">
        <x:f>IF(A205="","",IF(B205&lt;&gt;"Active","NOT REQUIRED",IF(COUNTIF(Schedule!$C$5:$C$1204,A205)=0,"UNSCHEDULED",IF(H205="Custom","OK",IF(COUNTIF(Schedule!$C$5:$C$1204,A205)=IF(H205="Weekly",4,IF(H205="Fortnightly",2,1)),"OK","CHECK VISITS")))))</x:f>
      </x:c>
      <x:c r="N205" s="100" t="str">
        <x:f>IF(A205="","",IF(COUNTIF($A$5:$A$404,A205)&gt;1,"DUPLICATE CLIENT",IF(B205="Active",IF(OR(F205="",G205="",H205="",J205=""),"COMPLETE CLIENT",IF(COUNTIF(Teams!$A$5:$A$104,J205)=0,"TEAM NOT FOUND","OK")),"OK")))</x:f>
      </x:c>
    </x:row>
    <x:row r="206">
      <x:c r="L206" s="100" t="str">
        <x:f>IF(A206="","",IF(B206&lt;&gt;"Active","NOT REQUIRED",IF(COUNTIF('Client Services'!$A$5:$A$1004,A206)=0,"ADD SERVICES","OK")))</x:f>
      </x:c>
      <x:c r="M206" s="100" t="str">
        <x:f>IF(A206="","",IF(B206&lt;&gt;"Active","NOT REQUIRED",IF(COUNTIF(Schedule!$C$5:$C$1204,A206)=0,"UNSCHEDULED",IF(H206="Custom","OK",IF(COUNTIF(Schedule!$C$5:$C$1204,A206)=IF(H206="Weekly",4,IF(H206="Fortnightly",2,1)),"OK","CHECK VISITS")))))</x:f>
      </x:c>
      <x:c r="N206" s="100" t="str">
        <x:f>IF(A206="","",IF(COUNTIF($A$5:$A$404,A206)&gt;1,"DUPLICATE CLIENT",IF(B206="Active",IF(OR(F206="",G206="",H206="",J206=""),"COMPLETE CLIENT",IF(COUNTIF(Teams!$A$5:$A$104,J206)=0,"TEAM NOT FOUND","OK")),"OK")))</x:f>
      </x:c>
    </x:row>
    <x:row r="207">
      <x:c r="L207" s="100" t="str">
        <x:f>IF(A207="","",IF(B207&lt;&gt;"Active","NOT REQUIRED",IF(COUNTIF('Client Services'!$A$5:$A$1004,A207)=0,"ADD SERVICES","OK")))</x:f>
      </x:c>
      <x:c r="M207" s="100" t="str">
        <x:f>IF(A207="","",IF(B207&lt;&gt;"Active","NOT REQUIRED",IF(COUNTIF(Schedule!$C$5:$C$1204,A207)=0,"UNSCHEDULED",IF(H207="Custom","OK",IF(COUNTIF(Schedule!$C$5:$C$1204,A207)=IF(H207="Weekly",4,IF(H207="Fortnightly",2,1)),"OK","CHECK VISITS")))))</x:f>
      </x:c>
      <x:c r="N207" s="100" t="str">
        <x:f>IF(A207="","",IF(COUNTIF($A$5:$A$404,A207)&gt;1,"DUPLICATE CLIENT",IF(B207="Active",IF(OR(F207="",G207="",H207="",J207=""),"COMPLETE CLIENT",IF(COUNTIF(Teams!$A$5:$A$104,J207)=0,"TEAM NOT FOUND","OK")),"OK")))</x:f>
      </x:c>
    </x:row>
    <x:row r="208">
      <x:c r="L208" s="100" t="str">
        <x:f>IF(A208="","",IF(B208&lt;&gt;"Active","NOT REQUIRED",IF(COUNTIF('Client Services'!$A$5:$A$1004,A208)=0,"ADD SERVICES","OK")))</x:f>
      </x:c>
      <x:c r="M208" s="100" t="str">
        <x:f>IF(A208="","",IF(B208&lt;&gt;"Active","NOT REQUIRED",IF(COUNTIF(Schedule!$C$5:$C$1204,A208)=0,"UNSCHEDULED",IF(H208="Custom","OK",IF(COUNTIF(Schedule!$C$5:$C$1204,A208)=IF(H208="Weekly",4,IF(H208="Fortnightly",2,1)),"OK","CHECK VISITS")))))</x:f>
      </x:c>
      <x:c r="N208" s="100" t="str">
        <x:f>IF(A208="","",IF(COUNTIF($A$5:$A$404,A208)&gt;1,"DUPLICATE CLIENT",IF(B208="Active",IF(OR(F208="",G208="",H208="",J208=""),"COMPLETE CLIENT",IF(COUNTIF(Teams!$A$5:$A$104,J208)=0,"TEAM NOT FOUND","OK")),"OK")))</x:f>
      </x:c>
    </x:row>
    <x:row r="209">
      <x:c r="L209" s="100" t="str">
        <x:f>IF(A209="","",IF(B209&lt;&gt;"Active","NOT REQUIRED",IF(COUNTIF('Client Services'!$A$5:$A$1004,A209)=0,"ADD SERVICES","OK")))</x:f>
      </x:c>
      <x:c r="M209" s="100" t="str">
        <x:f>IF(A209="","",IF(B209&lt;&gt;"Active","NOT REQUIRED",IF(COUNTIF(Schedule!$C$5:$C$1204,A209)=0,"UNSCHEDULED",IF(H209="Custom","OK",IF(COUNTIF(Schedule!$C$5:$C$1204,A209)=IF(H209="Weekly",4,IF(H209="Fortnightly",2,1)),"OK","CHECK VISITS")))))</x:f>
      </x:c>
      <x:c r="N209" s="100" t="str">
        <x:f>IF(A209="","",IF(COUNTIF($A$5:$A$404,A209)&gt;1,"DUPLICATE CLIENT",IF(B209="Active",IF(OR(F209="",G209="",H209="",J209=""),"COMPLETE CLIENT",IF(COUNTIF(Teams!$A$5:$A$104,J209)=0,"TEAM NOT FOUND","OK")),"OK")))</x:f>
      </x:c>
    </x:row>
    <x:row r="210">
      <x:c r="L210" s="100" t="str">
        <x:f>IF(A210="","",IF(B210&lt;&gt;"Active","NOT REQUIRED",IF(COUNTIF('Client Services'!$A$5:$A$1004,A210)=0,"ADD SERVICES","OK")))</x:f>
      </x:c>
      <x:c r="M210" s="100" t="str">
        <x:f>IF(A210="","",IF(B210&lt;&gt;"Active","NOT REQUIRED",IF(COUNTIF(Schedule!$C$5:$C$1204,A210)=0,"UNSCHEDULED",IF(H210="Custom","OK",IF(COUNTIF(Schedule!$C$5:$C$1204,A210)=IF(H210="Weekly",4,IF(H210="Fortnightly",2,1)),"OK","CHECK VISITS")))))</x:f>
      </x:c>
      <x:c r="N210" s="100" t="str">
        <x:f>IF(A210="","",IF(COUNTIF($A$5:$A$404,A210)&gt;1,"DUPLICATE CLIENT",IF(B210="Active",IF(OR(F210="",G210="",H210="",J210=""),"COMPLETE CLIENT",IF(COUNTIF(Teams!$A$5:$A$104,J210)=0,"TEAM NOT FOUND","OK")),"OK")))</x:f>
      </x:c>
    </x:row>
    <x:row r="211">
      <x:c r="L211" s="100" t="str">
        <x:f>IF(A211="","",IF(B211&lt;&gt;"Active","NOT REQUIRED",IF(COUNTIF('Client Services'!$A$5:$A$1004,A211)=0,"ADD SERVICES","OK")))</x:f>
      </x:c>
      <x:c r="M211" s="100" t="str">
        <x:f>IF(A211="","",IF(B211&lt;&gt;"Active","NOT REQUIRED",IF(COUNTIF(Schedule!$C$5:$C$1204,A211)=0,"UNSCHEDULED",IF(H211="Custom","OK",IF(COUNTIF(Schedule!$C$5:$C$1204,A211)=IF(H211="Weekly",4,IF(H211="Fortnightly",2,1)),"OK","CHECK VISITS")))))</x:f>
      </x:c>
      <x:c r="N211" s="100" t="str">
        <x:f>IF(A211="","",IF(COUNTIF($A$5:$A$404,A211)&gt;1,"DUPLICATE CLIENT",IF(B211="Active",IF(OR(F211="",G211="",H211="",J211=""),"COMPLETE CLIENT",IF(COUNTIF(Teams!$A$5:$A$104,J211)=0,"TEAM NOT FOUND","OK")),"OK")))</x:f>
      </x:c>
    </x:row>
    <x:row r="212">
      <x:c r="L212" s="100" t="str">
        <x:f>IF(A212="","",IF(B212&lt;&gt;"Active","NOT REQUIRED",IF(COUNTIF('Client Services'!$A$5:$A$1004,A212)=0,"ADD SERVICES","OK")))</x:f>
      </x:c>
      <x:c r="M212" s="100" t="str">
        <x:f>IF(A212="","",IF(B212&lt;&gt;"Active","NOT REQUIRED",IF(COUNTIF(Schedule!$C$5:$C$1204,A212)=0,"UNSCHEDULED",IF(H212="Custom","OK",IF(COUNTIF(Schedule!$C$5:$C$1204,A212)=IF(H212="Weekly",4,IF(H212="Fortnightly",2,1)),"OK","CHECK VISITS")))))</x:f>
      </x:c>
      <x:c r="N212" s="100" t="str">
        <x:f>IF(A212="","",IF(COUNTIF($A$5:$A$404,A212)&gt;1,"DUPLICATE CLIENT",IF(B212="Active",IF(OR(F212="",G212="",H212="",J212=""),"COMPLETE CLIENT",IF(COUNTIF(Teams!$A$5:$A$104,J212)=0,"TEAM NOT FOUND","OK")),"OK")))</x:f>
      </x:c>
    </x:row>
    <x:row r="213">
      <x:c r="L213" s="100" t="str">
        <x:f>IF(A213="","",IF(B213&lt;&gt;"Active","NOT REQUIRED",IF(COUNTIF('Client Services'!$A$5:$A$1004,A213)=0,"ADD SERVICES","OK")))</x:f>
      </x:c>
      <x:c r="M213" s="100" t="str">
        <x:f>IF(A213="","",IF(B213&lt;&gt;"Active","NOT REQUIRED",IF(COUNTIF(Schedule!$C$5:$C$1204,A213)=0,"UNSCHEDULED",IF(H213="Custom","OK",IF(COUNTIF(Schedule!$C$5:$C$1204,A213)=IF(H213="Weekly",4,IF(H213="Fortnightly",2,1)),"OK","CHECK VISITS")))))</x:f>
      </x:c>
      <x:c r="N213" s="100" t="str">
        <x:f>IF(A213="","",IF(COUNTIF($A$5:$A$404,A213)&gt;1,"DUPLICATE CLIENT",IF(B213="Active",IF(OR(F213="",G213="",H213="",J213=""),"COMPLETE CLIENT",IF(COUNTIF(Teams!$A$5:$A$104,J213)=0,"TEAM NOT FOUND","OK")),"OK")))</x:f>
      </x:c>
    </x:row>
    <x:row r="214">
      <x:c r="L214" s="100" t="str">
        <x:f>IF(A214="","",IF(B214&lt;&gt;"Active","NOT REQUIRED",IF(COUNTIF('Client Services'!$A$5:$A$1004,A214)=0,"ADD SERVICES","OK")))</x:f>
      </x:c>
      <x:c r="M214" s="100" t="str">
        <x:f>IF(A214="","",IF(B214&lt;&gt;"Active","NOT REQUIRED",IF(COUNTIF(Schedule!$C$5:$C$1204,A214)=0,"UNSCHEDULED",IF(H214="Custom","OK",IF(COUNTIF(Schedule!$C$5:$C$1204,A214)=IF(H214="Weekly",4,IF(H214="Fortnightly",2,1)),"OK","CHECK VISITS")))))</x:f>
      </x:c>
      <x:c r="N214" s="100" t="str">
        <x:f>IF(A214="","",IF(COUNTIF($A$5:$A$404,A214)&gt;1,"DUPLICATE CLIENT",IF(B214="Active",IF(OR(F214="",G214="",H214="",J214=""),"COMPLETE CLIENT",IF(COUNTIF(Teams!$A$5:$A$104,J214)=0,"TEAM NOT FOUND","OK")),"OK")))</x:f>
      </x:c>
    </x:row>
    <x:row r="215">
      <x:c r="L215" s="100" t="str">
        <x:f>IF(A215="","",IF(B215&lt;&gt;"Active","NOT REQUIRED",IF(COUNTIF('Client Services'!$A$5:$A$1004,A215)=0,"ADD SERVICES","OK")))</x:f>
      </x:c>
      <x:c r="M215" s="100" t="str">
        <x:f>IF(A215="","",IF(B215&lt;&gt;"Active","NOT REQUIRED",IF(COUNTIF(Schedule!$C$5:$C$1204,A215)=0,"UNSCHEDULED",IF(H215="Custom","OK",IF(COUNTIF(Schedule!$C$5:$C$1204,A215)=IF(H215="Weekly",4,IF(H215="Fortnightly",2,1)),"OK","CHECK VISITS")))))</x:f>
      </x:c>
      <x:c r="N215" s="100" t="str">
        <x:f>IF(A215="","",IF(COUNTIF($A$5:$A$404,A215)&gt;1,"DUPLICATE CLIENT",IF(B215="Active",IF(OR(F215="",G215="",H215="",J215=""),"COMPLETE CLIENT",IF(COUNTIF(Teams!$A$5:$A$104,J215)=0,"TEAM NOT FOUND","OK")),"OK")))</x:f>
      </x:c>
    </x:row>
    <x:row r="216">
      <x:c r="L216" s="100" t="str">
        <x:f>IF(A216="","",IF(B216&lt;&gt;"Active","NOT REQUIRED",IF(COUNTIF('Client Services'!$A$5:$A$1004,A216)=0,"ADD SERVICES","OK")))</x:f>
      </x:c>
      <x:c r="M216" s="100" t="str">
        <x:f>IF(A216="","",IF(B216&lt;&gt;"Active","NOT REQUIRED",IF(COUNTIF(Schedule!$C$5:$C$1204,A216)=0,"UNSCHEDULED",IF(H216="Custom","OK",IF(COUNTIF(Schedule!$C$5:$C$1204,A216)=IF(H216="Weekly",4,IF(H216="Fortnightly",2,1)),"OK","CHECK VISITS")))))</x:f>
      </x:c>
      <x:c r="N216" s="100" t="str">
        <x:f>IF(A216="","",IF(COUNTIF($A$5:$A$404,A216)&gt;1,"DUPLICATE CLIENT",IF(B216="Active",IF(OR(F216="",G216="",H216="",J216=""),"COMPLETE CLIENT",IF(COUNTIF(Teams!$A$5:$A$104,J216)=0,"TEAM NOT FOUND","OK")),"OK")))</x:f>
      </x:c>
    </x:row>
    <x:row r="217">
      <x:c r="L217" s="100" t="str">
        <x:f>IF(A217="","",IF(B217&lt;&gt;"Active","NOT REQUIRED",IF(COUNTIF('Client Services'!$A$5:$A$1004,A217)=0,"ADD SERVICES","OK")))</x:f>
      </x:c>
      <x:c r="M217" s="100" t="str">
        <x:f>IF(A217="","",IF(B217&lt;&gt;"Active","NOT REQUIRED",IF(COUNTIF(Schedule!$C$5:$C$1204,A217)=0,"UNSCHEDULED",IF(H217="Custom","OK",IF(COUNTIF(Schedule!$C$5:$C$1204,A217)=IF(H217="Weekly",4,IF(H217="Fortnightly",2,1)),"OK","CHECK VISITS")))))</x:f>
      </x:c>
      <x:c r="N217" s="100" t="str">
        <x:f>IF(A217="","",IF(COUNTIF($A$5:$A$404,A217)&gt;1,"DUPLICATE CLIENT",IF(B217="Active",IF(OR(F217="",G217="",H217="",J217=""),"COMPLETE CLIENT",IF(COUNTIF(Teams!$A$5:$A$104,J217)=0,"TEAM NOT FOUND","OK")),"OK")))</x:f>
      </x:c>
    </x:row>
    <x:row r="218">
      <x:c r="L218" s="100" t="str">
        <x:f>IF(A218="","",IF(B218&lt;&gt;"Active","NOT REQUIRED",IF(COUNTIF('Client Services'!$A$5:$A$1004,A218)=0,"ADD SERVICES","OK")))</x:f>
      </x:c>
      <x:c r="M218" s="100" t="str">
        <x:f>IF(A218="","",IF(B218&lt;&gt;"Active","NOT REQUIRED",IF(COUNTIF(Schedule!$C$5:$C$1204,A218)=0,"UNSCHEDULED",IF(H218="Custom","OK",IF(COUNTIF(Schedule!$C$5:$C$1204,A218)=IF(H218="Weekly",4,IF(H218="Fortnightly",2,1)),"OK","CHECK VISITS")))))</x:f>
      </x:c>
      <x:c r="N218" s="100" t="str">
        <x:f>IF(A218="","",IF(COUNTIF($A$5:$A$404,A218)&gt;1,"DUPLICATE CLIENT",IF(B218="Active",IF(OR(F218="",G218="",H218="",J218=""),"COMPLETE CLIENT",IF(COUNTIF(Teams!$A$5:$A$104,J218)=0,"TEAM NOT FOUND","OK")),"OK")))</x:f>
      </x:c>
    </x:row>
    <x:row r="219">
      <x:c r="L219" s="100" t="str">
        <x:f>IF(A219="","",IF(B219&lt;&gt;"Active","NOT REQUIRED",IF(COUNTIF('Client Services'!$A$5:$A$1004,A219)=0,"ADD SERVICES","OK")))</x:f>
      </x:c>
      <x:c r="M219" s="100" t="str">
        <x:f>IF(A219="","",IF(B219&lt;&gt;"Active","NOT REQUIRED",IF(COUNTIF(Schedule!$C$5:$C$1204,A219)=0,"UNSCHEDULED",IF(H219="Custom","OK",IF(COUNTIF(Schedule!$C$5:$C$1204,A219)=IF(H219="Weekly",4,IF(H219="Fortnightly",2,1)),"OK","CHECK VISITS")))))</x:f>
      </x:c>
      <x:c r="N219" s="100" t="str">
        <x:f>IF(A219="","",IF(COUNTIF($A$5:$A$404,A219)&gt;1,"DUPLICATE CLIENT",IF(B219="Active",IF(OR(F219="",G219="",H219="",J219=""),"COMPLETE CLIENT",IF(COUNTIF(Teams!$A$5:$A$104,J219)=0,"TEAM NOT FOUND","OK")),"OK")))</x:f>
      </x:c>
    </x:row>
    <x:row r="220">
      <x:c r="L220" s="100" t="str">
        <x:f>IF(A220="","",IF(B220&lt;&gt;"Active","NOT REQUIRED",IF(COUNTIF('Client Services'!$A$5:$A$1004,A220)=0,"ADD SERVICES","OK")))</x:f>
      </x:c>
      <x:c r="M220" s="100" t="str">
        <x:f>IF(A220="","",IF(B220&lt;&gt;"Active","NOT REQUIRED",IF(COUNTIF(Schedule!$C$5:$C$1204,A220)=0,"UNSCHEDULED",IF(H220="Custom","OK",IF(COUNTIF(Schedule!$C$5:$C$1204,A220)=IF(H220="Weekly",4,IF(H220="Fortnightly",2,1)),"OK","CHECK VISITS")))))</x:f>
      </x:c>
      <x:c r="N220" s="100" t="str">
        <x:f>IF(A220="","",IF(COUNTIF($A$5:$A$404,A220)&gt;1,"DUPLICATE CLIENT",IF(B220="Active",IF(OR(F220="",G220="",H220="",J220=""),"COMPLETE CLIENT",IF(COUNTIF(Teams!$A$5:$A$104,J220)=0,"TEAM NOT FOUND","OK")),"OK")))</x:f>
      </x:c>
    </x:row>
    <x:row r="221">
      <x:c r="L221" s="100" t="str">
        <x:f>IF(A221="","",IF(B221&lt;&gt;"Active","NOT REQUIRED",IF(COUNTIF('Client Services'!$A$5:$A$1004,A221)=0,"ADD SERVICES","OK")))</x:f>
      </x:c>
      <x:c r="M221" s="100" t="str">
        <x:f>IF(A221="","",IF(B221&lt;&gt;"Active","NOT REQUIRED",IF(COUNTIF(Schedule!$C$5:$C$1204,A221)=0,"UNSCHEDULED",IF(H221="Custom","OK",IF(COUNTIF(Schedule!$C$5:$C$1204,A221)=IF(H221="Weekly",4,IF(H221="Fortnightly",2,1)),"OK","CHECK VISITS")))))</x:f>
      </x:c>
      <x:c r="N221" s="100" t="str">
        <x:f>IF(A221="","",IF(COUNTIF($A$5:$A$404,A221)&gt;1,"DUPLICATE CLIENT",IF(B221="Active",IF(OR(F221="",G221="",H221="",J221=""),"COMPLETE CLIENT",IF(COUNTIF(Teams!$A$5:$A$104,J221)=0,"TEAM NOT FOUND","OK")),"OK")))</x:f>
      </x:c>
    </x:row>
    <x:row r="222">
      <x:c r="L222" s="100" t="str">
        <x:f>IF(A222="","",IF(B222&lt;&gt;"Active","NOT REQUIRED",IF(COUNTIF('Client Services'!$A$5:$A$1004,A222)=0,"ADD SERVICES","OK")))</x:f>
      </x:c>
      <x:c r="M222" s="100" t="str">
        <x:f>IF(A222="","",IF(B222&lt;&gt;"Active","NOT REQUIRED",IF(COUNTIF(Schedule!$C$5:$C$1204,A222)=0,"UNSCHEDULED",IF(H222="Custom","OK",IF(COUNTIF(Schedule!$C$5:$C$1204,A222)=IF(H222="Weekly",4,IF(H222="Fortnightly",2,1)),"OK","CHECK VISITS")))))</x:f>
      </x:c>
      <x:c r="N222" s="100" t="str">
        <x:f>IF(A222="","",IF(COUNTIF($A$5:$A$404,A222)&gt;1,"DUPLICATE CLIENT",IF(B222="Active",IF(OR(F222="",G222="",H222="",J222=""),"COMPLETE CLIENT",IF(COUNTIF(Teams!$A$5:$A$104,J222)=0,"TEAM NOT FOUND","OK")),"OK")))</x:f>
      </x:c>
    </x:row>
    <x:row r="223">
      <x:c r="L223" s="100" t="str">
        <x:f>IF(A223="","",IF(B223&lt;&gt;"Active","NOT REQUIRED",IF(COUNTIF('Client Services'!$A$5:$A$1004,A223)=0,"ADD SERVICES","OK")))</x:f>
      </x:c>
      <x:c r="M223" s="100" t="str">
        <x:f>IF(A223="","",IF(B223&lt;&gt;"Active","NOT REQUIRED",IF(COUNTIF(Schedule!$C$5:$C$1204,A223)=0,"UNSCHEDULED",IF(H223="Custom","OK",IF(COUNTIF(Schedule!$C$5:$C$1204,A223)=IF(H223="Weekly",4,IF(H223="Fortnightly",2,1)),"OK","CHECK VISITS")))))</x:f>
      </x:c>
      <x:c r="N223" s="100" t="str">
        <x:f>IF(A223="","",IF(COUNTIF($A$5:$A$404,A223)&gt;1,"DUPLICATE CLIENT",IF(B223="Active",IF(OR(F223="",G223="",H223="",J223=""),"COMPLETE CLIENT",IF(COUNTIF(Teams!$A$5:$A$104,J223)=0,"TEAM NOT FOUND","OK")),"OK")))</x:f>
      </x:c>
    </x:row>
    <x:row r="224">
      <x:c r="L224" s="100" t="str">
        <x:f>IF(A224="","",IF(B224&lt;&gt;"Active","NOT REQUIRED",IF(COUNTIF('Client Services'!$A$5:$A$1004,A224)=0,"ADD SERVICES","OK")))</x:f>
      </x:c>
      <x:c r="M224" s="100" t="str">
        <x:f>IF(A224="","",IF(B224&lt;&gt;"Active","NOT REQUIRED",IF(COUNTIF(Schedule!$C$5:$C$1204,A224)=0,"UNSCHEDULED",IF(H224="Custom","OK",IF(COUNTIF(Schedule!$C$5:$C$1204,A224)=IF(H224="Weekly",4,IF(H224="Fortnightly",2,1)),"OK","CHECK VISITS")))))</x:f>
      </x:c>
      <x:c r="N224" s="100" t="str">
        <x:f>IF(A224="","",IF(COUNTIF($A$5:$A$404,A224)&gt;1,"DUPLICATE CLIENT",IF(B224="Active",IF(OR(F224="",G224="",H224="",J224=""),"COMPLETE CLIENT",IF(COUNTIF(Teams!$A$5:$A$104,J224)=0,"TEAM NOT FOUND","OK")),"OK")))</x:f>
      </x:c>
    </x:row>
    <x:row r="225">
      <x:c r="L225" s="100" t="str">
        <x:f>IF(A225="","",IF(B225&lt;&gt;"Active","NOT REQUIRED",IF(COUNTIF('Client Services'!$A$5:$A$1004,A225)=0,"ADD SERVICES","OK")))</x:f>
      </x:c>
      <x:c r="M225" s="100" t="str">
        <x:f>IF(A225="","",IF(B225&lt;&gt;"Active","NOT REQUIRED",IF(COUNTIF(Schedule!$C$5:$C$1204,A225)=0,"UNSCHEDULED",IF(H225="Custom","OK",IF(COUNTIF(Schedule!$C$5:$C$1204,A225)=IF(H225="Weekly",4,IF(H225="Fortnightly",2,1)),"OK","CHECK VISITS")))))</x:f>
      </x:c>
      <x:c r="N225" s="100" t="str">
        <x:f>IF(A225="","",IF(COUNTIF($A$5:$A$404,A225)&gt;1,"DUPLICATE CLIENT",IF(B225="Active",IF(OR(F225="",G225="",H225="",J225=""),"COMPLETE CLIENT",IF(COUNTIF(Teams!$A$5:$A$104,J225)=0,"TEAM NOT FOUND","OK")),"OK")))</x:f>
      </x:c>
    </x:row>
    <x:row r="226">
      <x:c r="L226" s="100" t="str">
        <x:f>IF(A226="","",IF(B226&lt;&gt;"Active","NOT REQUIRED",IF(COUNTIF('Client Services'!$A$5:$A$1004,A226)=0,"ADD SERVICES","OK")))</x:f>
      </x:c>
      <x:c r="M226" s="100" t="str">
        <x:f>IF(A226="","",IF(B226&lt;&gt;"Active","NOT REQUIRED",IF(COUNTIF(Schedule!$C$5:$C$1204,A226)=0,"UNSCHEDULED",IF(H226="Custom","OK",IF(COUNTIF(Schedule!$C$5:$C$1204,A226)=IF(H226="Weekly",4,IF(H226="Fortnightly",2,1)),"OK","CHECK VISITS")))))</x:f>
      </x:c>
      <x:c r="N226" s="100" t="str">
        <x:f>IF(A226="","",IF(COUNTIF($A$5:$A$404,A226)&gt;1,"DUPLICATE CLIENT",IF(B226="Active",IF(OR(F226="",G226="",H226="",J226=""),"COMPLETE CLIENT",IF(COUNTIF(Teams!$A$5:$A$104,J226)=0,"TEAM NOT FOUND","OK")),"OK")))</x:f>
      </x:c>
    </x:row>
    <x:row r="227">
      <x:c r="L227" s="100" t="str">
        <x:f>IF(A227="","",IF(B227&lt;&gt;"Active","NOT REQUIRED",IF(COUNTIF('Client Services'!$A$5:$A$1004,A227)=0,"ADD SERVICES","OK")))</x:f>
      </x:c>
      <x:c r="M227" s="100" t="str">
        <x:f>IF(A227="","",IF(B227&lt;&gt;"Active","NOT REQUIRED",IF(COUNTIF(Schedule!$C$5:$C$1204,A227)=0,"UNSCHEDULED",IF(H227="Custom","OK",IF(COUNTIF(Schedule!$C$5:$C$1204,A227)=IF(H227="Weekly",4,IF(H227="Fortnightly",2,1)),"OK","CHECK VISITS")))))</x:f>
      </x:c>
      <x:c r="N227" s="100" t="str">
        <x:f>IF(A227="","",IF(COUNTIF($A$5:$A$404,A227)&gt;1,"DUPLICATE CLIENT",IF(B227="Active",IF(OR(F227="",G227="",H227="",J227=""),"COMPLETE CLIENT",IF(COUNTIF(Teams!$A$5:$A$104,J227)=0,"TEAM NOT FOUND","OK")),"OK")))</x:f>
      </x:c>
    </x:row>
    <x:row r="228">
      <x:c r="L228" s="100" t="str">
        <x:f>IF(A228="","",IF(B228&lt;&gt;"Active","NOT REQUIRED",IF(COUNTIF('Client Services'!$A$5:$A$1004,A228)=0,"ADD SERVICES","OK")))</x:f>
      </x:c>
      <x:c r="M228" s="100" t="str">
        <x:f>IF(A228="","",IF(B228&lt;&gt;"Active","NOT REQUIRED",IF(COUNTIF(Schedule!$C$5:$C$1204,A228)=0,"UNSCHEDULED",IF(H228="Custom","OK",IF(COUNTIF(Schedule!$C$5:$C$1204,A228)=IF(H228="Weekly",4,IF(H228="Fortnightly",2,1)),"OK","CHECK VISITS")))))</x:f>
      </x:c>
      <x:c r="N228" s="100" t="str">
        <x:f>IF(A228="","",IF(COUNTIF($A$5:$A$404,A228)&gt;1,"DUPLICATE CLIENT",IF(B228="Active",IF(OR(F228="",G228="",H228="",J228=""),"COMPLETE CLIENT",IF(COUNTIF(Teams!$A$5:$A$104,J228)=0,"TEAM NOT FOUND","OK")),"OK")))</x:f>
      </x:c>
    </x:row>
    <x:row r="229">
      <x:c r="L229" s="100" t="str">
        <x:f>IF(A229="","",IF(B229&lt;&gt;"Active","NOT REQUIRED",IF(COUNTIF('Client Services'!$A$5:$A$1004,A229)=0,"ADD SERVICES","OK")))</x:f>
      </x:c>
      <x:c r="M229" s="100" t="str">
        <x:f>IF(A229="","",IF(B229&lt;&gt;"Active","NOT REQUIRED",IF(COUNTIF(Schedule!$C$5:$C$1204,A229)=0,"UNSCHEDULED",IF(H229="Custom","OK",IF(COUNTIF(Schedule!$C$5:$C$1204,A229)=IF(H229="Weekly",4,IF(H229="Fortnightly",2,1)),"OK","CHECK VISITS")))))</x:f>
      </x:c>
      <x:c r="N229" s="100" t="str">
        <x:f>IF(A229="","",IF(COUNTIF($A$5:$A$404,A229)&gt;1,"DUPLICATE CLIENT",IF(B229="Active",IF(OR(F229="",G229="",H229="",J229=""),"COMPLETE CLIENT",IF(COUNTIF(Teams!$A$5:$A$104,J229)=0,"TEAM NOT FOUND","OK")),"OK")))</x:f>
      </x:c>
    </x:row>
    <x:row r="230">
      <x:c r="L230" s="100" t="str">
        <x:f>IF(A230="","",IF(B230&lt;&gt;"Active","NOT REQUIRED",IF(COUNTIF('Client Services'!$A$5:$A$1004,A230)=0,"ADD SERVICES","OK")))</x:f>
      </x:c>
      <x:c r="M230" s="100" t="str">
        <x:f>IF(A230="","",IF(B230&lt;&gt;"Active","NOT REQUIRED",IF(COUNTIF(Schedule!$C$5:$C$1204,A230)=0,"UNSCHEDULED",IF(H230="Custom","OK",IF(COUNTIF(Schedule!$C$5:$C$1204,A230)=IF(H230="Weekly",4,IF(H230="Fortnightly",2,1)),"OK","CHECK VISITS")))))</x:f>
      </x:c>
      <x:c r="N230" s="100" t="str">
        <x:f>IF(A230="","",IF(COUNTIF($A$5:$A$404,A230)&gt;1,"DUPLICATE CLIENT",IF(B230="Active",IF(OR(F230="",G230="",H230="",J230=""),"COMPLETE CLIENT",IF(COUNTIF(Teams!$A$5:$A$104,J230)=0,"TEAM NOT FOUND","OK")),"OK")))</x:f>
      </x:c>
    </x:row>
    <x:row r="231">
      <x:c r="L231" s="100" t="str">
        <x:f>IF(A231="","",IF(B231&lt;&gt;"Active","NOT REQUIRED",IF(COUNTIF('Client Services'!$A$5:$A$1004,A231)=0,"ADD SERVICES","OK")))</x:f>
      </x:c>
      <x:c r="M231" s="100" t="str">
        <x:f>IF(A231="","",IF(B231&lt;&gt;"Active","NOT REQUIRED",IF(COUNTIF(Schedule!$C$5:$C$1204,A231)=0,"UNSCHEDULED",IF(H231="Custom","OK",IF(COUNTIF(Schedule!$C$5:$C$1204,A231)=IF(H231="Weekly",4,IF(H231="Fortnightly",2,1)),"OK","CHECK VISITS")))))</x:f>
      </x:c>
      <x:c r="N231" s="100" t="str">
        <x:f>IF(A231="","",IF(COUNTIF($A$5:$A$404,A231)&gt;1,"DUPLICATE CLIENT",IF(B231="Active",IF(OR(F231="",G231="",H231="",J231=""),"COMPLETE CLIENT",IF(COUNTIF(Teams!$A$5:$A$104,J231)=0,"TEAM NOT FOUND","OK")),"OK")))</x:f>
      </x:c>
    </x:row>
    <x:row r="232">
      <x:c r="L232" s="100" t="str">
        <x:f>IF(A232="","",IF(B232&lt;&gt;"Active","NOT REQUIRED",IF(COUNTIF('Client Services'!$A$5:$A$1004,A232)=0,"ADD SERVICES","OK")))</x:f>
      </x:c>
      <x:c r="M232" s="100" t="str">
        <x:f>IF(A232="","",IF(B232&lt;&gt;"Active","NOT REQUIRED",IF(COUNTIF(Schedule!$C$5:$C$1204,A232)=0,"UNSCHEDULED",IF(H232="Custom","OK",IF(COUNTIF(Schedule!$C$5:$C$1204,A232)=IF(H232="Weekly",4,IF(H232="Fortnightly",2,1)),"OK","CHECK VISITS")))))</x:f>
      </x:c>
      <x:c r="N232" s="100" t="str">
        <x:f>IF(A232="","",IF(COUNTIF($A$5:$A$404,A232)&gt;1,"DUPLICATE CLIENT",IF(B232="Active",IF(OR(F232="",G232="",H232="",J232=""),"COMPLETE CLIENT",IF(COUNTIF(Teams!$A$5:$A$104,J232)=0,"TEAM NOT FOUND","OK")),"OK")))</x:f>
      </x:c>
    </x:row>
    <x:row r="233">
      <x:c r="L233" s="100" t="str">
        <x:f>IF(A233="","",IF(B233&lt;&gt;"Active","NOT REQUIRED",IF(COUNTIF('Client Services'!$A$5:$A$1004,A233)=0,"ADD SERVICES","OK")))</x:f>
      </x:c>
      <x:c r="M233" s="100" t="str">
        <x:f>IF(A233="","",IF(B233&lt;&gt;"Active","NOT REQUIRED",IF(COUNTIF(Schedule!$C$5:$C$1204,A233)=0,"UNSCHEDULED",IF(H233="Custom","OK",IF(COUNTIF(Schedule!$C$5:$C$1204,A233)=IF(H233="Weekly",4,IF(H233="Fortnightly",2,1)),"OK","CHECK VISITS")))))</x:f>
      </x:c>
      <x:c r="N233" s="100" t="str">
        <x:f>IF(A233="","",IF(COUNTIF($A$5:$A$404,A233)&gt;1,"DUPLICATE CLIENT",IF(B233="Active",IF(OR(F233="",G233="",H233="",J233=""),"COMPLETE CLIENT",IF(COUNTIF(Teams!$A$5:$A$104,J233)=0,"TEAM NOT FOUND","OK")),"OK")))</x:f>
      </x:c>
    </x:row>
    <x:row r="234">
      <x:c r="L234" s="100" t="str">
        <x:f>IF(A234="","",IF(B234&lt;&gt;"Active","NOT REQUIRED",IF(COUNTIF('Client Services'!$A$5:$A$1004,A234)=0,"ADD SERVICES","OK")))</x:f>
      </x:c>
      <x:c r="M234" s="100" t="str">
        <x:f>IF(A234="","",IF(B234&lt;&gt;"Active","NOT REQUIRED",IF(COUNTIF(Schedule!$C$5:$C$1204,A234)=0,"UNSCHEDULED",IF(H234="Custom","OK",IF(COUNTIF(Schedule!$C$5:$C$1204,A234)=IF(H234="Weekly",4,IF(H234="Fortnightly",2,1)),"OK","CHECK VISITS")))))</x:f>
      </x:c>
      <x:c r="N234" s="100" t="str">
        <x:f>IF(A234="","",IF(COUNTIF($A$5:$A$404,A234)&gt;1,"DUPLICATE CLIENT",IF(B234="Active",IF(OR(F234="",G234="",H234="",J234=""),"COMPLETE CLIENT",IF(COUNTIF(Teams!$A$5:$A$104,J234)=0,"TEAM NOT FOUND","OK")),"OK")))</x:f>
      </x:c>
    </x:row>
    <x:row r="235">
      <x:c r="L235" s="100" t="str">
        <x:f>IF(A235="","",IF(B235&lt;&gt;"Active","NOT REQUIRED",IF(COUNTIF('Client Services'!$A$5:$A$1004,A235)=0,"ADD SERVICES","OK")))</x:f>
      </x:c>
      <x:c r="M235" s="100" t="str">
        <x:f>IF(A235="","",IF(B235&lt;&gt;"Active","NOT REQUIRED",IF(COUNTIF(Schedule!$C$5:$C$1204,A235)=0,"UNSCHEDULED",IF(H235="Custom","OK",IF(COUNTIF(Schedule!$C$5:$C$1204,A235)=IF(H235="Weekly",4,IF(H235="Fortnightly",2,1)),"OK","CHECK VISITS")))))</x:f>
      </x:c>
      <x:c r="N235" s="100" t="str">
        <x:f>IF(A235="","",IF(COUNTIF($A$5:$A$404,A235)&gt;1,"DUPLICATE CLIENT",IF(B235="Active",IF(OR(F235="",G235="",H235="",J235=""),"COMPLETE CLIENT",IF(COUNTIF(Teams!$A$5:$A$104,J235)=0,"TEAM NOT FOUND","OK")),"OK")))</x:f>
      </x:c>
    </x:row>
    <x:row r="236">
      <x:c r="L236" s="100" t="str">
        <x:f>IF(A236="","",IF(B236&lt;&gt;"Active","NOT REQUIRED",IF(COUNTIF('Client Services'!$A$5:$A$1004,A236)=0,"ADD SERVICES","OK")))</x:f>
      </x:c>
      <x:c r="M236" s="100" t="str">
        <x:f>IF(A236="","",IF(B236&lt;&gt;"Active","NOT REQUIRED",IF(COUNTIF(Schedule!$C$5:$C$1204,A236)=0,"UNSCHEDULED",IF(H236="Custom","OK",IF(COUNTIF(Schedule!$C$5:$C$1204,A236)=IF(H236="Weekly",4,IF(H236="Fortnightly",2,1)),"OK","CHECK VISITS")))))</x:f>
      </x:c>
      <x:c r="N236" s="100" t="str">
        <x:f>IF(A236="","",IF(COUNTIF($A$5:$A$404,A236)&gt;1,"DUPLICATE CLIENT",IF(B236="Active",IF(OR(F236="",G236="",H236="",J236=""),"COMPLETE CLIENT",IF(COUNTIF(Teams!$A$5:$A$104,J236)=0,"TEAM NOT FOUND","OK")),"OK")))</x:f>
      </x:c>
    </x:row>
    <x:row r="237">
      <x:c r="L237" s="100" t="str">
        <x:f>IF(A237="","",IF(B237&lt;&gt;"Active","NOT REQUIRED",IF(COUNTIF('Client Services'!$A$5:$A$1004,A237)=0,"ADD SERVICES","OK")))</x:f>
      </x:c>
      <x:c r="M237" s="100" t="str">
        <x:f>IF(A237="","",IF(B237&lt;&gt;"Active","NOT REQUIRED",IF(COUNTIF(Schedule!$C$5:$C$1204,A237)=0,"UNSCHEDULED",IF(H237="Custom","OK",IF(COUNTIF(Schedule!$C$5:$C$1204,A237)=IF(H237="Weekly",4,IF(H237="Fortnightly",2,1)),"OK","CHECK VISITS")))))</x:f>
      </x:c>
      <x:c r="N237" s="100" t="str">
        <x:f>IF(A237="","",IF(COUNTIF($A$5:$A$404,A237)&gt;1,"DUPLICATE CLIENT",IF(B237="Active",IF(OR(F237="",G237="",H237="",J237=""),"COMPLETE CLIENT",IF(COUNTIF(Teams!$A$5:$A$104,J237)=0,"TEAM NOT FOUND","OK")),"OK")))</x:f>
      </x:c>
    </x:row>
    <x:row r="238">
      <x:c r="L238" s="100" t="str">
        <x:f>IF(A238="","",IF(B238&lt;&gt;"Active","NOT REQUIRED",IF(COUNTIF('Client Services'!$A$5:$A$1004,A238)=0,"ADD SERVICES","OK")))</x:f>
      </x:c>
      <x:c r="M238" s="100" t="str">
        <x:f>IF(A238="","",IF(B238&lt;&gt;"Active","NOT REQUIRED",IF(COUNTIF(Schedule!$C$5:$C$1204,A238)=0,"UNSCHEDULED",IF(H238="Custom","OK",IF(COUNTIF(Schedule!$C$5:$C$1204,A238)=IF(H238="Weekly",4,IF(H238="Fortnightly",2,1)),"OK","CHECK VISITS")))))</x:f>
      </x:c>
      <x:c r="N238" s="100" t="str">
        <x:f>IF(A238="","",IF(COUNTIF($A$5:$A$404,A238)&gt;1,"DUPLICATE CLIENT",IF(B238="Active",IF(OR(F238="",G238="",H238="",J238=""),"COMPLETE CLIENT",IF(COUNTIF(Teams!$A$5:$A$104,J238)=0,"TEAM NOT FOUND","OK")),"OK")))</x:f>
      </x:c>
    </x:row>
    <x:row r="239">
      <x:c r="L239" s="100" t="str">
        <x:f>IF(A239="","",IF(B239&lt;&gt;"Active","NOT REQUIRED",IF(COUNTIF('Client Services'!$A$5:$A$1004,A239)=0,"ADD SERVICES","OK")))</x:f>
      </x:c>
      <x:c r="M239" s="100" t="str">
        <x:f>IF(A239="","",IF(B239&lt;&gt;"Active","NOT REQUIRED",IF(COUNTIF(Schedule!$C$5:$C$1204,A239)=0,"UNSCHEDULED",IF(H239="Custom","OK",IF(COUNTIF(Schedule!$C$5:$C$1204,A239)=IF(H239="Weekly",4,IF(H239="Fortnightly",2,1)),"OK","CHECK VISITS")))))</x:f>
      </x:c>
      <x:c r="N239" s="100" t="str">
        <x:f>IF(A239="","",IF(COUNTIF($A$5:$A$404,A239)&gt;1,"DUPLICATE CLIENT",IF(B239="Active",IF(OR(F239="",G239="",H239="",J239=""),"COMPLETE CLIENT",IF(COUNTIF(Teams!$A$5:$A$104,J239)=0,"TEAM NOT FOUND","OK")),"OK")))</x:f>
      </x:c>
    </x:row>
    <x:row r="240">
      <x:c r="L240" s="100" t="str">
        <x:f>IF(A240="","",IF(B240&lt;&gt;"Active","NOT REQUIRED",IF(COUNTIF('Client Services'!$A$5:$A$1004,A240)=0,"ADD SERVICES","OK")))</x:f>
      </x:c>
      <x:c r="M240" s="100" t="str">
        <x:f>IF(A240="","",IF(B240&lt;&gt;"Active","NOT REQUIRED",IF(COUNTIF(Schedule!$C$5:$C$1204,A240)=0,"UNSCHEDULED",IF(H240="Custom","OK",IF(COUNTIF(Schedule!$C$5:$C$1204,A240)=IF(H240="Weekly",4,IF(H240="Fortnightly",2,1)),"OK","CHECK VISITS")))))</x:f>
      </x:c>
      <x:c r="N240" s="100" t="str">
        <x:f>IF(A240="","",IF(COUNTIF($A$5:$A$404,A240)&gt;1,"DUPLICATE CLIENT",IF(B240="Active",IF(OR(F240="",G240="",H240="",J240=""),"COMPLETE CLIENT",IF(COUNTIF(Teams!$A$5:$A$104,J240)=0,"TEAM NOT FOUND","OK")),"OK")))</x:f>
      </x:c>
    </x:row>
    <x:row r="241">
      <x:c r="L241" s="100" t="str">
        <x:f>IF(A241="","",IF(B241&lt;&gt;"Active","NOT REQUIRED",IF(COUNTIF('Client Services'!$A$5:$A$1004,A241)=0,"ADD SERVICES","OK")))</x:f>
      </x:c>
      <x:c r="M241" s="100" t="str">
        <x:f>IF(A241="","",IF(B241&lt;&gt;"Active","NOT REQUIRED",IF(COUNTIF(Schedule!$C$5:$C$1204,A241)=0,"UNSCHEDULED",IF(H241="Custom","OK",IF(COUNTIF(Schedule!$C$5:$C$1204,A241)=IF(H241="Weekly",4,IF(H241="Fortnightly",2,1)),"OK","CHECK VISITS")))))</x:f>
      </x:c>
      <x:c r="N241" s="100" t="str">
        <x:f>IF(A241="","",IF(COUNTIF($A$5:$A$404,A241)&gt;1,"DUPLICATE CLIENT",IF(B241="Active",IF(OR(F241="",G241="",H241="",J241=""),"COMPLETE CLIENT",IF(COUNTIF(Teams!$A$5:$A$104,J241)=0,"TEAM NOT FOUND","OK")),"OK")))</x:f>
      </x:c>
    </x:row>
    <x:row r="242">
      <x:c r="L242" s="100" t="str">
        <x:f>IF(A242="","",IF(B242&lt;&gt;"Active","NOT REQUIRED",IF(COUNTIF('Client Services'!$A$5:$A$1004,A242)=0,"ADD SERVICES","OK")))</x:f>
      </x:c>
      <x:c r="M242" s="100" t="str">
        <x:f>IF(A242="","",IF(B242&lt;&gt;"Active","NOT REQUIRED",IF(COUNTIF(Schedule!$C$5:$C$1204,A242)=0,"UNSCHEDULED",IF(H242="Custom","OK",IF(COUNTIF(Schedule!$C$5:$C$1204,A242)=IF(H242="Weekly",4,IF(H242="Fortnightly",2,1)),"OK","CHECK VISITS")))))</x:f>
      </x:c>
      <x:c r="N242" s="100" t="str">
        <x:f>IF(A242="","",IF(COUNTIF($A$5:$A$404,A242)&gt;1,"DUPLICATE CLIENT",IF(B242="Active",IF(OR(F242="",G242="",H242="",J242=""),"COMPLETE CLIENT",IF(COUNTIF(Teams!$A$5:$A$104,J242)=0,"TEAM NOT FOUND","OK")),"OK")))</x:f>
      </x:c>
    </x:row>
    <x:row r="243">
      <x:c r="L243" s="100" t="str">
        <x:f>IF(A243="","",IF(B243&lt;&gt;"Active","NOT REQUIRED",IF(COUNTIF('Client Services'!$A$5:$A$1004,A243)=0,"ADD SERVICES","OK")))</x:f>
      </x:c>
      <x:c r="M243" s="100" t="str">
        <x:f>IF(A243="","",IF(B243&lt;&gt;"Active","NOT REQUIRED",IF(COUNTIF(Schedule!$C$5:$C$1204,A243)=0,"UNSCHEDULED",IF(H243="Custom","OK",IF(COUNTIF(Schedule!$C$5:$C$1204,A243)=IF(H243="Weekly",4,IF(H243="Fortnightly",2,1)),"OK","CHECK VISITS")))))</x:f>
      </x:c>
      <x:c r="N243" s="100" t="str">
        <x:f>IF(A243="","",IF(COUNTIF($A$5:$A$404,A243)&gt;1,"DUPLICATE CLIENT",IF(B243="Active",IF(OR(F243="",G243="",H243="",J243=""),"COMPLETE CLIENT",IF(COUNTIF(Teams!$A$5:$A$104,J243)=0,"TEAM NOT FOUND","OK")),"OK")))</x:f>
      </x:c>
    </x:row>
    <x:row r="244">
      <x:c r="L244" s="100" t="str">
        <x:f>IF(A244="","",IF(B244&lt;&gt;"Active","NOT REQUIRED",IF(COUNTIF('Client Services'!$A$5:$A$1004,A244)=0,"ADD SERVICES","OK")))</x:f>
      </x:c>
      <x:c r="M244" s="100" t="str">
        <x:f>IF(A244="","",IF(B244&lt;&gt;"Active","NOT REQUIRED",IF(COUNTIF(Schedule!$C$5:$C$1204,A244)=0,"UNSCHEDULED",IF(H244="Custom","OK",IF(COUNTIF(Schedule!$C$5:$C$1204,A244)=IF(H244="Weekly",4,IF(H244="Fortnightly",2,1)),"OK","CHECK VISITS")))))</x:f>
      </x:c>
      <x:c r="N244" s="100" t="str">
        <x:f>IF(A244="","",IF(COUNTIF($A$5:$A$404,A244)&gt;1,"DUPLICATE CLIENT",IF(B244="Active",IF(OR(F244="",G244="",H244="",J244=""),"COMPLETE CLIENT",IF(COUNTIF(Teams!$A$5:$A$104,J244)=0,"TEAM NOT FOUND","OK")),"OK")))</x:f>
      </x:c>
    </x:row>
    <x:row r="245">
      <x:c r="L245" s="100" t="str">
        <x:f>IF(A245="","",IF(B245&lt;&gt;"Active","NOT REQUIRED",IF(COUNTIF('Client Services'!$A$5:$A$1004,A245)=0,"ADD SERVICES","OK")))</x:f>
      </x:c>
      <x:c r="M245" s="100" t="str">
        <x:f>IF(A245="","",IF(B245&lt;&gt;"Active","NOT REQUIRED",IF(COUNTIF(Schedule!$C$5:$C$1204,A245)=0,"UNSCHEDULED",IF(H245="Custom","OK",IF(COUNTIF(Schedule!$C$5:$C$1204,A245)=IF(H245="Weekly",4,IF(H245="Fortnightly",2,1)),"OK","CHECK VISITS")))))</x:f>
      </x:c>
      <x:c r="N245" s="100" t="str">
        <x:f>IF(A245="","",IF(COUNTIF($A$5:$A$404,A245)&gt;1,"DUPLICATE CLIENT",IF(B245="Active",IF(OR(F245="",G245="",H245="",J245=""),"COMPLETE CLIENT",IF(COUNTIF(Teams!$A$5:$A$104,J245)=0,"TEAM NOT FOUND","OK")),"OK")))</x:f>
      </x:c>
    </x:row>
    <x:row r="246">
      <x:c r="L246" s="100" t="str">
        <x:f>IF(A246="","",IF(B246&lt;&gt;"Active","NOT REQUIRED",IF(COUNTIF('Client Services'!$A$5:$A$1004,A246)=0,"ADD SERVICES","OK")))</x:f>
      </x:c>
      <x:c r="M246" s="100" t="str">
        <x:f>IF(A246="","",IF(B246&lt;&gt;"Active","NOT REQUIRED",IF(COUNTIF(Schedule!$C$5:$C$1204,A246)=0,"UNSCHEDULED",IF(H246="Custom","OK",IF(COUNTIF(Schedule!$C$5:$C$1204,A246)=IF(H246="Weekly",4,IF(H246="Fortnightly",2,1)),"OK","CHECK VISITS")))))</x:f>
      </x:c>
      <x:c r="N246" s="100" t="str">
        <x:f>IF(A246="","",IF(COUNTIF($A$5:$A$404,A246)&gt;1,"DUPLICATE CLIENT",IF(B246="Active",IF(OR(F246="",G246="",H246="",J246=""),"COMPLETE CLIENT",IF(COUNTIF(Teams!$A$5:$A$104,J246)=0,"TEAM NOT FOUND","OK")),"OK")))</x:f>
      </x:c>
    </x:row>
    <x:row r="247">
      <x:c r="L247" s="100" t="str">
        <x:f>IF(A247="","",IF(B247&lt;&gt;"Active","NOT REQUIRED",IF(COUNTIF('Client Services'!$A$5:$A$1004,A247)=0,"ADD SERVICES","OK")))</x:f>
      </x:c>
      <x:c r="M247" s="100" t="str">
        <x:f>IF(A247="","",IF(B247&lt;&gt;"Active","NOT REQUIRED",IF(COUNTIF(Schedule!$C$5:$C$1204,A247)=0,"UNSCHEDULED",IF(H247="Custom","OK",IF(COUNTIF(Schedule!$C$5:$C$1204,A247)=IF(H247="Weekly",4,IF(H247="Fortnightly",2,1)),"OK","CHECK VISITS")))))</x:f>
      </x:c>
      <x:c r="N247" s="100" t="str">
        <x:f>IF(A247="","",IF(COUNTIF($A$5:$A$404,A247)&gt;1,"DUPLICATE CLIENT",IF(B247="Active",IF(OR(F247="",G247="",H247="",J247=""),"COMPLETE CLIENT",IF(COUNTIF(Teams!$A$5:$A$104,J247)=0,"TEAM NOT FOUND","OK")),"OK")))</x:f>
      </x:c>
    </x:row>
    <x:row r="248">
      <x:c r="L248" s="100" t="str">
        <x:f>IF(A248="","",IF(B248&lt;&gt;"Active","NOT REQUIRED",IF(COUNTIF('Client Services'!$A$5:$A$1004,A248)=0,"ADD SERVICES","OK")))</x:f>
      </x:c>
      <x:c r="M248" s="100" t="str">
        <x:f>IF(A248="","",IF(B248&lt;&gt;"Active","NOT REQUIRED",IF(COUNTIF(Schedule!$C$5:$C$1204,A248)=0,"UNSCHEDULED",IF(H248="Custom","OK",IF(COUNTIF(Schedule!$C$5:$C$1204,A248)=IF(H248="Weekly",4,IF(H248="Fortnightly",2,1)),"OK","CHECK VISITS")))))</x:f>
      </x:c>
      <x:c r="N248" s="100" t="str">
        <x:f>IF(A248="","",IF(COUNTIF($A$5:$A$404,A248)&gt;1,"DUPLICATE CLIENT",IF(B248="Active",IF(OR(F248="",G248="",H248="",J248=""),"COMPLETE CLIENT",IF(COUNTIF(Teams!$A$5:$A$104,J248)=0,"TEAM NOT FOUND","OK")),"OK")))</x:f>
      </x:c>
    </x:row>
    <x:row r="249">
      <x:c r="L249" s="100" t="str">
        <x:f>IF(A249="","",IF(B249&lt;&gt;"Active","NOT REQUIRED",IF(COUNTIF('Client Services'!$A$5:$A$1004,A249)=0,"ADD SERVICES","OK")))</x:f>
      </x:c>
      <x:c r="M249" s="100" t="str">
        <x:f>IF(A249="","",IF(B249&lt;&gt;"Active","NOT REQUIRED",IF(COUNTIF(Schedule!$C$5:$C$1204,A249)=0,"UNSCHEDULED",IF(H249="Custom","OK",IF(COUNTIF(Schedule!$C$5:$C$1204,A249)=IF(H249="Weekly",4,IF(H249="Fortnightly",2,1)),"OK","CHECK VISITS")))))</x:f>
      </x:c>
      <x:c r="N249" s="100" t="str">
        <x:f>IF(A249="","",IF(COUNTIF($A$5:$A$404,A249)&gt;1,"DUPLICATE CLIENT",IF(B249="Active",IF(OR(F249="",G249="",H249="",J249=""),"COMPLETE CLIENT",IF(COUNTIF(Teams!$A$5:$A$104,J249)=0,"TEAM NOT FOUND","OK")),"OK")))</x:f>
      </x:c>
    </x:row>
    <x:row r="250">
      <x:c r="L250" s="100" t="str">
        <x:f>IF(A250="","",IF(B250&lt;&gt;"Active","NOT REQUIRED",IF(COUNTIF('Client Services'!$A$5:$A$1004,A250)=0,"ADD SERVICES","OK")))</x:f>
      </x:c>
      <x:c r="M250" s="100" t="str">
        <x:f>IF(A250="","",IF(B250&lt;&gt;"Active","NOT REQUIRED",IF(COUNTIF(Schedule!$C$5:$C$1204,A250)=0,"UNSCHEDULED",IF(H250="Custom","OK",IF(COUNTIF(Schedule!$C$5:$C$1204,A250)=IF(H250="Weekly",4,IF(H250="Fortnightly",2,1)),"OK","CHECK VISITS")))))</x:f>
      </x:c>
      <x:c r="N250" s="100" t="str">
        <x:f>IF(A250="","",IF(COUNTIF($A$5:$A$404,A250)&gt;1,"DUPLICATE CLIENT",IF(B250="Active",IF(OR(F250="",G250="",H250="",J250=""),"COMPLETE CLIENT",IF(COUNTIF(Teams!$A$5:$A$104,J250)=0,"TEAM NOT FOUND","OK")),"OK")))</x:f>
      </x:c>
    </x:row>
    <x:row r="251">
      <x:c r="L251" s="100" t="str">
        <x:f>IF(A251="","",IF(B251&lt;&gt;"Active","NOT REQUIRED",IF(COUNTIF('Client Services'!$A$5:$A$1004,A251)=0,"ADD SERVICES","OK")))</x:f>
      </x:c>
      <x:c r="M251" s="100" t="str">
        <x:f>IF(A251="","",IF(B251&lt;&gt;"Active","NOT REQUIRED",IF(COUNTIF(Schedule!$C$5:$C$1204,A251)=0,"UNSCHEDULED",IF(H251="Custom","OK",IF(COUNTIF(Schedule!$C$5:$C$1204,A251)=IF(H251="Weekly",4,IF(H251="Fortnightly",2,1)),"OK","CHECK VISITS")))))</x:f>
      </x:c>
      <x:c r="N251" s="100" t="str">
        <x:f>IF(A251="","",IF(COUNTIF($A$5:$A$404,A251)&gt;1,"DUPLICATE CLIENT",IF(B251="Active",IF(OR(F251="",G251="",H251="",J251=""),"COMPLETE CLIENT",IF(COUNTIF(Teams!$A$5:$A$104,J251)=0,"TEAM NOT FOUND","OK")),"OK")))</x:f>
      </x:c>
    </x:row>
    <x:row r="252">
      <x:c r="L252" s="100" t="str">
        <x:f>IF(A252="","",IF(B252&lt;&gt;"Active","NOT REQUIRED",IF(COUNTIF('Client Services'!$A$5:$A$1004,A252)=0,"ADD SERVICES","OK")))</x:f>
      </x:c>
      <x:c r="M252" s="100" t="str">
        <x:f>IF(A252="","",IF(B252&lt;&gt;"Active","NOT REQUIRED",IF(COUNTIF(Schedule!$C$5:$C$1204,A252)=0,"UNSCHEDULED",IF(H252="Custom","OK",IF(COUNTIF(Schedule!$C$5:$C$1204,A252)=IF(H252="Weekly",4,IF(H252="Fortnightly",2,1)),"OK","CHECK VISITS")))))</x:f>
      </x:c>
      <x:c r="N252" s="100" t="str">
        <x:f>IF(A252="","",IF(COUNTIF($A$5:$A$404,A252)&gt;1,"DUPLICATE CLIENT",IF(B252="Active",IF(OR(F252="",G252="",H252="",J252=""),"COMPLETE CLIENT",IF(COUNTIF(Teams!$A$5:$A$104,J252)=0,"TEAM NOT FOUND","OK")),"OK")))</x:f>
      </x:c>
    </x:row>
    <x:row r="253">
      <x:c r="L253" s="100" t="str">
        <x:f>IF(A253="","",IF(B253&lt;&gt;"Active","NOT REQUIRED",IF(COUNTIF('Client Services'!$A$5:$A$1004,A253)=0,"ADD SERVICES","OK")))</x:f>
      </x:c>
      <x:c r="M253" s="100" t="str">
        <x:f>IF(A253="","",IF(B253&lt;&gt;"Active","NOT REQUIRED",IF(COUNTIF(Schedule!$C$5:$C$1204,A253)=0,"UNSCHEDULED",IF(H253="Custom","OK",IF(COUNTIF(Schedule!$C$5:$C$1204,A253)=IF(H253="Weekly",4,IF(H253="Fortnightly",2,1)),"OK","CHECK VISITS")))))</x:f>
      </x:c>
      <x:c r="N253" s="100" t="str">
        <x:f>IF(A253="","",IF(COUNTIF($A$5:$A$404,A253)&gt;1,"DUPLICATE CLIENT",IF(B253="Active",IF(OR(F253="",G253="",H253="",J253=""),"COMPLETE CLIENT",IF(COUNTIF(Teams!$A$5:$A$104,J253)=0,"TEAM NOT FOUND","OK")),"OK")))</x:f>
      </x:c>
    </x:row>
    <x:row r="254">
      <x:c r="L254" s="100" t="str">
        <x:f>IF(A254="","",IF(B254&lt;&gt;"Active","NOT REQUIRED",IF(COUNTIF('Client Services'!$A$5:$A$1004,A254)=0,"ADD SERVICES","OK")))</x:f>
      </x:c>
      <x:c r="M254" s="100" t="str">
        <x:f>IF(A254="","",IF(B254&lt;&gt;"Active","NOT REQUIRED",IF(COUNTIF(Schedule!$C$5:$C$1204,A254)=0,"UNSCHEDULED",IF(H254="Custom","OK",IF(COUNTIF(Schedule!$C$5:$C$1204,A254)=IF(H254="Weekly",4,IF(H254="Fortnightly",2,1)),"OK","CHECK VISITS")))))</x:f>
      </x:c>
      <x:c r="N254" s="100" t="str">
        <x:f>IF(A254="","",IF(COUNTIF($A$5:$A$404,A254)&gt;1,"DUPLICATE CLIENT",IF(B254="Active",IF(OR(F254="",G254="",H254="",J254=""),"COMPLETE CLIENT",IF(COUNTIF(Teams!$A$5:$A$104,J254)=0,"TEAM NOT FOUND","OK")),"OK")))</x:f>
      </x:c>
    </x:row>
    <x:row r="255">
      <x:c r="L255" s="100" t="str">
        <x:f>IF(A255="","",IF(B255&lt;&gt;"Active","NOT REQUIRED",IF(COUNTIF('Client Services'!$A$5:$A$1004,A255)=0,"ADD SERVICES","OK")))</x:f>
      </x:c>
      <x:c r="M255" s="100" t="str">
        <x:f>IF(A255="","",IF(B255&lt;&gt;"Active","NOT REQUIRED",IF(COUNTIF(Schedule!$C$5:$C$1204,A255)=0,"UNSCHEDULED",IF(H255="Custom","OK",IF(COUNTIF(Schedule!$C$5:$C$1204,A255)=IF(H255="Weekly",4,IF(H255="Fortnightly",2,1)),"OK","CHECK VISITS")))))</x:f>
      </x:c>
      <x:c r="N255" s="100" t="str">
        <x:f>IF(A255="","",IF(COUNTIF($A$5:$A$404,A255)&gt;1,"DUPLICATE CLIENT",IF(B255="Active",IF(OR(F255="",G255="",H255="",J255=""),"COMPLETE CLIENT",IF(COUNTIF(Teams!$A$5:$A$104,J255)=0,"TEAM NOT FOUND","OK")),"OK")))</x:f>
      </x:c>
    </x:row>
    <x:row r="256">
      <x:c r="L256" s="100" t="str">
        <x:f>IF(A256="","",IF(B256&lt;&gt;"Active","NOT REQUIRED",IF(COUNTIF('Client Services'!$A$5:$A$1004,A256)=0,"ADD SERVICES","OK")))</x:f>
      </x:c>
      <x:c r="M256" s="100" t="str">
        <x:f>IF(A256="","",IF(B256&lt;&gt;"Active","NOT REQUIRED",IF(COUNTIF(Schedule!$C$5:$C$1204,A256)=0,"UNSCHEDULED",IF(H256="Custom","OK",IF(COUNTIF(Schedule!$C$5:$C$1204,A256)=IF(H256="Weekly",4,IF(H256="Fortnightly",2,1)),"OK","CHECK VISITS")))))</x:f>
      </x:c>
      <x:c r="N256" s="100" t="str">
        <x:f>IF(A256="","",IF(COUNTIF($A$5:$A$404,A256)&gt;1,"DUPLICATE CLIENT",IF(B256="Active",IF(OR(F256="",G256="",H256="",J256=""),"COMPLETE CLIENT",IF(COUNTIF(Teams!$A$5:$A$104,J256)=0,"TEAM NOT FOUND","OK")),"OK")))</x:f>
      </x:c>
    </x:row>
    <x:row r="257">
      <x:c r="L257" s="100" t="str">
        <x:f>IF(A257="","",IF(B257&lt;&gt;"Active","NOT REQUIRED",IF(COUNTIF('Client Services'!$A$5:$A$1004,A257)=0,"ADD SERVICES","OK")))</x:f>
      </x:c>
      <x:c r="M257" s="100" t="str">
        <x:f>IF(A257="","",IF(B257&lt;&gt;"Active","NOT REQUIRED",IF(COUNTIF(Schedule!$C$5:$C$1204,A257)=0,"UNSCHEDULED",IF(H257="Custom","OK",IF(COUNTIF(Schedule!$C$5:$C$1204,A257)=IF(H257="Weekly",4,IF(H257="Fortnightly",2,1)),"OK","CHECK VISITS")))))</x:f>
      </x:c>
      <x:c r="N257" s="100" t="str">
        <x:f>IF(A257="","",IF(COUNTIF($A$5:$A$404,A257)&gt;1,"DUPLICATE CLIENT",IF(B257="Active",IF(OR(F257="",G257="",H257="",J257=""),"COMPLETE CLIENT",IF(COUNTIF(Teams!$A$5:$A$104,J257)=0,"TEAM NOT FOUND","OK")),"OK")))</x:f>
      </x:c>
    </x:row>
    <x:row r="258">
      <x:c r="L258" s="100" t="str">
        <x:f>IF(A258="","",IF(B258&lt;&gt;"Active","NOT REQUIRED",IF(COUNTIF('Client Services'!$A$5:$A$1004,A258)=0,"ADD SERVICES","OK")))</x:f>
      </x:c>
      <x:c r="M258" s="100" t="str">
        <x:f>IF(A258="","",IF(B258&lt;&gt;"Active","NOT REQUIRED",IF(COUNTIF(Schedule!$C$5:$C$1204,A258)=0,"UNSCHEDULED",IF(H258="Custom","OK",IF(COUNTIF(Schedule!$C$5:$C$1204,A258)=IF(H258="Weekly",4,IF(H258="Fortnightly",2,1)),"OK","CHECK VISITS")))))</x:f>
      </x:c>
      <x:c r="N258" s="100" t="str">
        <x:f>IF(A258="","",IF(COUNTIF($A$5:$A$404,A258)&gt;1,"DUPLICATE CLIENT",IF(B258="Active",IF(OR(F258="",G258="",H258="",J258=""),"COMPLETE CLIENT",IF(COUNTIF(Teams!$A$5:$A$104,J258)=0,"TEAM NOT FOUND","OK")),"OK")))</x:f>
      </x:c>
    </x:row>
    <x:row r="259">
      <x:c r="L259" s="100" t="str">
        <x:f>IF(A259="","",IF(B259&lt;&gt;"Active","NOT REQUIRED",IF(COUNTIF('Client Services'!$A$5:$A$1004,A259)=0,"ADD SERVICES","OK")))</x:f>
      </x:c>
      <x:c r="M259" s="100" t="str">
        <x:f>IF(A259="","",IF(B259&lt;&gt;"Active","NOT REQUIRED",IF(COUNTIF(Schedule!$C$5:$C$1204,A259)=0,"UNSCHEDULED",IF(H259="Custom","OK",IF(COUNTIF(Schedule!$C$5:$C$1204,A259)=IF(H259="Weekly",4,IF(H259="Fortnightly",2,1)),"OK","CHECK VISITS")))))</x:f>
      </x:c>
      <x:c r="N259" s="100" t="str">
        <x:f>IF(A259="","",IF(COUNTIF($A$5:$A$404,A259)&gt;1,"DUPLICATE CLIENT",IF(B259="Active",IF(OR(F259="",G259="",H259="",J259=""),"COMPLETE CLIENT",IF(COUNTIF(Teams!$A$5:$A$104,J259)=0,"TEAM NOT FOUND","OK")),"OK")))</x:f>
      </x:c>
    </x:row>
    <x:row r="260">
      <x:c r="L260" s="100" t="str">
        <x:f>IF(A260="","",IF(B260&lt;&gt;"Active","NOT REQUIRED",IF(COUNTIF('Client Services'!$A$5:$A$1004,A260)=0,"ADD SERVICES","OK")))</x:f>
      </x:c>
      <x:c r="M260" s="100" t="str">
        <x:f>IF(A260="","",IF(B260&lt;&gt;"Active","NOT REQUIRED",IF(COUNTIF(Schedule!$C$5:$C$1204,A260)=0,"UNSCHEDULED",IF(H260="Custom","OK",IF(COUNTIF(Schedule!$C$5:$C$1204,A260)=IF(H260="Weekly",4,IF(H260="Fortnightly",2,1)),"OK","CHECK VISITS")))))</x:f>
      </x:c>
      <x:c r="N260" s="100" t="str">
        <x:f>IF(A260="","",IF(COUNTIF($A$5:$A$404,A260)&gt;1,"DUPLICATE CLIENT",IF(B260="Active",IF(OR(F260="",G260="",H260="",J260=""),"COMPLETE CLIENT",IF(COUNTIF(Teams!$A$5:$A$104,J260)=0,"TEAM NOT FOUND","OK")),"OK")))</x:f>
      </x:c>
    </x:row>
    <x:row r="261">
      <x:c r="L261" s="100" t="str">
        <x:f>IF(A261="","",IF(B261&lt;&gt;"Active","NOT REQUIRED",IF(COUNTIF('Client Services'!$A$5:$A$1004,A261)=0,"ADD SERVICES","OK")))</x:f>
      </x:c>
      <x:c r="M261" s="100" t="str">
        <x:f>IF(A261="","",IF(B261&lt;&gt;"Active","NOT REQUIRED",IF(COUNTIF(Schedule!$C$5:$C$1204,A261)=0,"UNSCHEDULED",IF(H261="Custom","OK",IF(COUNTIF(Schedule!$C$5:$C$1204,A261)=IF(H261="Weekly",4,IF(H261="Fortnightly",2,1)),"OK","CHECK VISITS")))))</x:f>
      </x:c>
      <x:c r="N261" s="100" t="str">
        <x:f>IF(A261="","",IF(COUNTIF($A$5:$A$404,A261)&gt;1,"DUPLICATE CLIENT",IF(B261="Active",IF(OR(F261="",G261="",H261="",J261=""),"COMPLETE CLIENT",IF(COUNTIF(Teams!$A$5:$A$104,J261)=0,"TEAM NOT FOUND","OK")),"OK")))</x:f>
      </x:c>
    </x:row>
    <x:row r="262">
      <x:c r="L262" s="100" t="str">
        <x:f>IF(A262="","",IF(B262&lt;&gt;"Active","NOT REQUIRED",IF(COUNTIF('Client Services'!$A$5:$A$1004,A262)=0,"ADD SERVICES","OK")))</x:f>
      </x:c>
      <x:c r="M262" s="100" t="str">
        <x:f>IF(A262="","",IF(B262&lt;&gt;"Active","NOT REQUIRED",IF(COUNTIF(Schedule!$C$5:$C$1204,A262)=0,"UNSCHEDULED",IF(H262="Custom","OK",IF(COUNTIF(Schedule!$C$5:$C$1204,A262)=IF(H262="Weekly",4,IF(H262="Fortnightly",2,1)),"OK","CHECK VISITS")))))</x:f>
      </x:c>
      <x:c r="N262" s="100" t="str">
        <x:f>IF(A262="","",IF(COUNTIF($A$5:$A$404,A262)&gt;1,"DUPLICATE CLIENT",IF(B262="Active",IF(OR(F262="",G262="",H262="",J262=""),"COMPLETE CLIENT",IF(COUNTIF(Teams!$A$5:$A$104,J262)=0,"TEAM NOT FOUND","OK")),"OK")))</x:f>
      </x:c>
    </x:row>
    <x:row r="263">
      <x:c r="L263" s="100" t="str">
        <x:f>IF(A263="","",IF(B263&lt;&gt;"Active","NOT REQUIRED",IF(COUNTIF('Client Services'!$A$5:$A$1004,A263)=0,"ADD SERVICES","OK")))</x:f>
      </x:c>
      <x:c r="M263" s="100" t="str">
        <x:f>IF(A263="","",IF(B263&lt;&gt;"Active","NOT REQUIRED",IF(COUNTIF(Schedule!$C$5:$C$1204,A263)=0,"UNSCHEDULED",IF(H263="Custom","OK",IF(COUNTIF(Schedule!$C$5:$C$1204,A263)=IF(H263="Weekly",4,IF(H263="Fortnightly",2,1)),"OK","CHECK VISITS")))))</x:f>
      </x:c>
      <x:c r="N263" s="100" t="str">
        <x:f>IF(A263="","",IF(COUNTIF($A$5:$A$404,A263)&gt;1,"DUPLICATE CLIENT",IF(B263="Active",IF(OR(F263="",G263="",H263="",J263=""),"COMPLETE CLIENT",IF(COUNTIF(Teams!$A$5:$A$104,J263)=0,"TEAM NOT FOUND","OK")),"OK")))</x:f>
      </x:c>
    </x:row>
    <x:row r="264">
      <x:c r="L264" s="100" t="str">
        <x:f>IF(A264="","",IF(B264&lt;&gt;"Active","NOT REQUIRED",IF(COUNTIF('Client Services'!$A$5:$A$1004,A264)=0,"ADD SERVICES","OK")))</x:f>
      </x:c>
      <x:c r="M264" s="100" t="str">
        <x:f>IF(A264="","",IF(B264&lt;&gt;"Active","NOT REQUIRED",IF(COUNTIF(Schedule!$C$5:$C$1204,A264)=0,"UNSCHEDULED",IF(H264="Custom","OK",IF(COUNTIF(Schedule!$C$5:$C$1204,A264)=IF(H264="Weekly",4,IF(H264="Fortnightly",2,1)),"OK","CHECK VISITS")))))</x:f>
      </x:c>
      <x:c r="N264" s="100" t="str">
        <x:f>IF(A264="","",IF(COUNTIF($A$5:$A$404,A264)&gt;1,"DUPLICATE CLIENT",IF(B264="Active",IF(OR(F264="",G264="",H264="",J264=""),"COMPLETE CLIENT",IF(COUNTIF(Teams!$A$5:$A$104,J264)=0,"TEAM NOT FOUND","OK")),"OK")))</x:f>
      </x:c>
    </x:row>
    <x:row r="265">
      <x:c r="L265" s="100" t="str">
        <x:f>IF(A265="","",IF(B265&lt;&gt;"Active","NOT REQUIRED",IF(COUNTIF('Client Services'!$A$5:$A$1004,A265)=0,"ADD SERVICES","OK")))</x:f>
      </x:c>
      <x:c r="M265" s="100" t="str">
        <x:f>IF(A265="","",IF(B265&lt;&gt;"Active","NOT REQUIRED",IF(COUNTIF(Schedule!$C$5:$C$1204,A265)=0,"UNSCHEDULED",IF(H265="Custom","OK",IF(COUNTIF(Schedule!$C$5:$C$1204,A265)=IF(H265="Weekly",4,IF(H265="Fortnightly",2,1)),"OK","CHECK VISITS")))))</x:f>
      </x:c>
      <x:c r="N265" s="100" t="str">
        <x:f>IF(A265="","",IF(COUNTIF($A$5:$A$404,A265)&gt;1,"DUPLICATE CLIENT",IF(B265="Active",IF(OR(F265="",G265="",H265="",J265=""),"COMPLETE CLIENT",IF(COUNTIF(Teams!$A$5:$A$104,J265)=0,"TEAM NOT FOUND","OK")),"OK")))</x:f>
      </x:c>
    </x:row>
    <x:row r="266">
      <x:c r="L266" s="100" t="str">
        <x:f>IF(A266="","",IF(B266&lt;&gt;"Active","NOT REQUIRED",IF(COUNTIF('Client Services'!$A$5:$A$1004,A266)=0,"ADD SERVICES","OK")))</x:f>
      </x:c>
      <x:c r="M266" s="100" t="str">
        <x:f>IF(A266="","",IF(B266&lt;&gt;"Active","NOT REQUIRED",IF(COUNTIF(Schedule!$C$5:$C$1204,A266)=0,"UNSCHEDULED",IF(H266="Custom","OK",IF(COUNTIF(Schedule!$C$5:$C$1204,A266)=IF(H266="Weekly",4,IF(H266="Fortnightly",2,1)),"OK","CHECK VISITS")))))</x:f>
      </x:c>
      <x:c r="N266" s="100" t="str">
        <x:f>IF(A266="","",IF(COUNTIF($A$5:$A$404,A266)&gt;1,"DUPLICATE CLIENT",IF(B266="Active",IF(OR(F266="",G266="",H266="",J266=""),"COMPLETE CLIENT",IF(COUNTIF(Teams!$A$5:$A$104,J266)=0,"TEAM NOT FOUND","OK")),"OK")))</x:f>
      </x:c>
    </x:row>
    <x:row r="267">
      <x:c r="L267" s="100" t="str">
        <x:f>IF(A267="","",IF(B267&lt;&gt;"Active","NOT REQUIRED",IF(COUNTIF('Client Services'!$A$5:$A$1004,A267)=0,"ADD SERVICES","OK")))</x:f>
      </x:c>
      <x:c r="M267" s="100" t="str">
        <x:f>IF(A267="","",IF(B267&lt;&gt;"Active","NOT REQUIRED",IF(COUNTIF(Schedule!$C$5:$C$1204,A267)=0,"UNSCHEDULED",IF(H267="Custom","OK",IF(COUNTIF(Schedule!$C$5:$C$1204,A267)=IF(H267="Weekly",4,IF(H267="Fortnightly",2,1)),"OK","CHECK VISITS")))))</x:f>
      </x:c>
      <x:c r="N267" s="100" t="str">
        <x:f>IF(A267="","",IF(COUNTIF($A$5:$A$404,A267)&gt;1,"DUPLICATE CLIENT",IF(B267="Active",IF(OR(F267="",G267="",H267="",J267=""),"COMPLETE CLIENT",IF(COUNTIF(Teams!$A$5:$A$104,J267)=0,"TEAM NOT FOUND","OK")),"OK")))</x:f>
      </x:c>
    </x:row>
    <x:row r="268">
      <x:c r="L268" s="100" t="str">
        <x:f>IF(A268="","",IF(B268&lt;&gt;"Active","NOT REQUIRED",IF(COUNTIF('Client Services'!$A$5:$A$1004,A268)=0,"ADD SERVICES","OK")))</x:f>
      </x:c>
      <x:c r="M268" s="100" t="str">
        <x:f>IF(A268="","",IF(B268&lt;&gt;"Active","NOT REQUIRED",IF(COUNTIF(Schedule!$C$5:$C$1204,A268)=0,"UNSCHEDULED",IF(H268="Custom","OK",IF(COUNTIF(Schedule!$C$5:$C$1204,A268)=IF(H268="Weekly",4,IF(H268="Fortnightly",2,1)),"OK","CHECK VISITS")))))</x:f>
      </x:c>
      <x:c r="N268" s="100" t="str">
        <x:f>IF(A268="","",IF(COUNTIF($A$5:$A$404,A268)&gt;1,"DUPLICATE CLIENT",IF(B268="Active",IF(OR(F268="",G268="",H268="",J268=""),"COMPLETE CLIENT",IF(COUNTIF(Teams!$A$5:$A$104,J268)=0,"TEAM NOT FOUND","OK")),"OK")))</x:f>
      </x:c>
    </x:row>
    <x:row r="269">
      <x:c r="L269" s="100" t="str">
        <x:f>IF(A269="","",IF(B269&lt;&gt;"Active","NOT REQUIRED",IF(COUNTIF('Client Services'!$A$5:$A$1004,A269)=0,"ADD SERVICES","OK")))</x:f>
      </x:c>
      <x:c r="M269" s="100" t="str">
        <x:f>IF(A269="","",IF(B269&lt;&gt;"Active","NOT REQUIRED",IF(COUNTIF(Schedule!$C$5:$C$1204,A269)=0,"UNSCHEDULED",IF(H269="Custom","OK",IF(COUNTIF(Schedule!$C$5:$C$1204,A269)=IF(H269="Weekly",4,IF(H269="Fortnightly",2,1)),"OK","CHECK VISITS")))))</x:f>
      </x:c>
      <x:c r="N269" s="100" t="str">
        <x:f>IF(A269="","",IF(COUNTIF($A$5:$A$404,A269)&gt;1,"DUPLICATE CLIENT",IF(B269="Active",IF(OR(F269="",G269="",H269="",J269=""),"COMPLETE CLIENT",IF(COUNTIF(Teams!$A$5:$A$104,J269)=0,"TEAM NOT FOUND","OK")),"OK")))</x:f>
      </x:c>
    </x:row>
    <x:row r="270">
      <x:c r="L270" s="100" t="str">
        <x:f>IF(A270="","",IF(B270&lt;&gt;"Active","NOT REQUIRED",IF(COUNTIF('Client Services'!$A$5:$A$1004,A270)=0,"ADD SERVICES","OK")))</x:f>
      </x:c>
      <x:c r="M270" s="100" t="str">
        <x:f>IF(A270="","",IF(B270&lt;&gt;"Active","NOT REQUIRED",IF(COUNTIF(Schedule!$C$5:$C$1204,A270)=0,"UNSCHEDULED",IF(H270="Custom","OK",IF(COUNTIF(Schedule!$C$5:$C$1204,A270)=IF(H270="Weekly",4,IF(H270="Fortnightly",2,1)),"OK","CHECK VISITS")))))</x:f>
      </x:c>
      <x:c r="N270" s="100" t="str">
        <x:f>IF(A270="","",IF(COUNTIF($A$5:$A$404,A270)&gt;1,"DUPLICATE CLIENT",IF(B270="Active",IF(OR(F270="",G270="",H270="",J270=""),"COMPLETE CLIENT",IF(COUNTIF(Teams!$A$5:$A$104,J270)=0,"TEAM NOT FOUND","OK")),"OK")))</x:f>
      </x:c>
    </x:row>
    <x:row r="271">
      <x:c r="L271" s="100" t="str">
        <x:f>IF(A271="","",IF(B271&lt;&gt;"Active","NOT REQUIRED",IF(COUNTIF('Client Services'!$A$5:$A$1004,A271)=0,"ADD SERVICES","OK")))</x:f>
      </x:c>
      <x:c r="M271" s="100" t="str">
        <x:f>IF(A271="","",IF(B271&lt;&gt;"Active","NOT REQUIRED",IF(COUNTIF(Schedule!$C$5:$C$1204,A271)=0,"UNSCHEDULED",IF(H271="Custom","OK",IF(COUNTIF(Schedule!$C$5:$C$1204,A271)=IF(H271="Weekly",4,IF(H271="Fortnightly",2,1)),"OK","CHECK VISITS")))))</x:f>
      </x:c>
      <x:c r="N271" s="100" t="str">
        <x:f>IF(A271="","",IF(COUNTIF($A$5:$A$404,A271)&gt;1,"DUPLICATE CLIENT",IF(B271="Active",IF(OR(F271="",G271="",H271="",J271=""),"COMPLETE CLIENT",IF(COUNTIF(Teams!$A$5:$A$104,J271)=0,"TEAM NOT FOUND","OK")),"OK")))</x:f>
      </x:c>
    </x:row>
    <x:row r="272">
      <x:c r="L272" s="100" t="str">
        <x:f>IF(A272="","",IF(B272&lt;&gt;"Active","NOT REQUIRED",IF(COUNTIF('Client Services'!$A$5:$A$1004,A272)=0,"ADD SERVICES","OK")))</x:f>
      </x:c>
      <x:c r="M272" s="100" t="str">
        <x:f>IF(A272="","",IF(B272&lt;&gt;"Active","NOT REQUIRED",IF(COUNTIF(Schedule!$C$5:$C$1204,A272)=0,"UNSCHEDULED",IF(H272="Custom","OK",IF(COUNTIF(Schedule!$C$5:$C$1204,A272)=IF(H272="Weekly",4,IF(H272="Fortnightly",2,1)),"OK","CHECK VISITS")))))</x:f>
      </x:c>
      <x:c r="N272" s="100" t="str">
        <x:f>IF(A272="","",IF(COUNTIF($A$5:$A$404,A272)&gt;1,"DUPLICATE CLIENT",IF(B272="Active",IF(OR(F272="",G272="",H272="",J272=""),"COMPLETE CLIENT",IF(COUNTIF(Teams!$A$5:$A$104,J272)=0,"TEAM NOT FOUND","OK")),"OK")))</x:f>
      </x:c>
    </x:row>
    <x:row r="273">
      <x:c r="L273" s="100" t="str">
        <x:f>IF(A273="","",IF(B273&lt;&gt;"Active","NOT REQUIRED",IF(COUNTIF('Client Services'!$A$5:$A$1004,A273)=0,"ADD SERVICES","OK")))</x:f>
      </x:c>
      <x:c r="M273" s="100" t="str">
        <x:f>IF(A273="","",IF(B273&lt;&gt;"Active","NOT REQUIRED",IF(COUNTIF(Schedule!$C$5:$C$1204,A273)=0,"UNSCHEDULED",IF(H273="Custom","OK",IF(COUNTIF(Schedule!$C$5:$C$1204,A273)=IF(H273="Weekly",4,IF(H273="Fortnightly",2,1)),"OK","CHECK VISITS")))))</x:f>
      </x:c>
      <x:c r="N273" s="100" t="str">
        <x:f>IF(A273="","",IF(COUNTIF($A$5:$A$404,A273)&gt;1,"DUPLICATE CLIENT",IF(B273="Active",IF(OR(F273="",G273="",H273="",J273=""),"COMPLETE CLIENT",IF(COUNTIF(Teams!$A$5:$A$104,J273)=0,"TEAM NOT FOUND","OK")),"OK")))</x:f>
      </x:c>
    </x:row>
    <x:row r="274">
      <x:c r="L274" s="100" t="str">
        <x:f>IF(A274="","",IF(B274&lt;&gt;"Active","NOT REQUIRED",IF(COUNTIF('Client Services'!$A$5:$A$1004,A274)=0,"ADD SERVICES","OK")))</x:f>
      </x:c>
      <x:c r="M274" s="100" t="str">
        <x:f>IF(A274="","",IF(B274&lt;&gt;"Active","NOT REQUIRED",IF(COUNTIF(Schedule!$C$5:$C$1204,A274)=0,"UNSCHEDULED",IF(H274="Custom","OK",IF(COUNTIF(Schedule!$C$5:$C$1204,A274)=IF(H274="Weekly",4,IF(H274="Fortnightly",2,1)),"OK","CHECK VISITS")))))</x:f>
      </x:c>
      <x:c r="N274" s="100" t="str">
        <x:f>IF(A274="","",IF(COUNTIF($A$5:$A$404,A274)&gt;1,"DUPLICATE CLIENT",IF(B274="Active",IF(OR(F274="",G274="",H274="",J274=""),"COMPLETE CLIENT",IF(COUNTIF(Teams!$A$5:$A$104,J274)=0,"TEAM NOT FOUND","OK")),"OK")))</x:f>
      </x:c>
    </x:row>
    <x:row r="275">
      <x:c r="L275" s="100" t="str">
        <x:f>IF(A275="","",IF(B275&lt;&gt;"Active","NOT REQUIRED",IF(COUNTIF('Client Services'!$A$5:$A$1004,A275)=0,"ADD SERVICES","OK")))</x:f>
      </x:c>
      <x:c r="M275" s="100" t="str">
        <x:f>IF(A275="","",IF(B275&lt;&gt;"Active","NOT REQUIRED",IF(COUNTIF(Schedule!$C$5:$C$1204,A275)=0,"UNSCHEDULED",IF(H275="Custom","OK",IF(COUNTIF(Schedule!$C$5:$C$1204,A275)=IF(H275="Weekly",4,IF(H275="Fortnightly",2,1)),"OK","CHECK VISITS")))))</x:f>
      </x:c>
      <x:c r="N275" s="100" t="str">
        <x:f>IF(A275="","",IF(COUNTIF($A$5:$A$404,A275)&gt;1,"DUPLICATE CLIENT",IF(B275="Active",IF(OR(F275="",G275="",H275="",J275=""),"COMPLETE CLIENT",IF(COUNTIF(Teams!$A$5:$A$104,J275)=0,"TEAM NOT FOUND","OK")),"OK")))</x:f>
      </x:c>
    </x:row>
    <x:row r="276">
      <x:c r="L276" s="100" t="str">
        <x:f>IF(A276="","",IF(B276&lt;&gt;"Active","NOT REQUIRED",IF(COUNTIF('Client Services'!$A$5:$A$1004,A276)=0,"ADD SERVICES","OK")))</x:f>
      </x:c>
      <x:c r="M276" s="100" t="str">
        <x:f>IF(A276="","",IF(B276&lt;&gt;"Active","NOT REQUIRED",IF(COUNTIF(Schedule!$C$5:$C$1204,A276)=0,"UNSCHEDULED",IF(H276="Custom","OK",IF(COUNTIF(Schedule!$C$5:$C$1204,A276)=IF(H276="Weekly",4,IF(H276="Fortnightly",2,1)),"OK","CHECK VISITS")))))</x:f>
      </x:c>
      <x:c r="N276" s="100" t="str">
        <x:f>IF(A276="","",IF(COUNTIF($A$5:$A$404,A276)&gt;1,"DUPLICATE CLIENT",IF(B276="Active",IF(OR(F276="",G276="",H276="",J276=""),"COMPLETE CLIENT",IF(COUNTIF(Teams!$A$5:$A$104,J276)=0,"TEAM NOT FOUND","OK")),"OK")))</x:f>
      </x:c>
    </x:row>
    <x:row r="277">
      <x:c r="L277" s="100" t="str">
        <x:f>IF(A277="","",IF(B277&lt;&gt;"Active","NOT REQUIRED",IF(COUNTIF('Client Services'!$A$5:$A$1004,A277)=0,"ADD SERVICES","OK")))</x:f>
      </x:c>
      <x:c r="M277" s="100" t="str">
        <x:f>IF(A277="","",IF(B277&lt;&gt;"Active","NOT REQUIRED",IF(COUNTIF(Schedule!$C$5:$C$1204,A277)=0,"UNSCHEDULED",IF(H277="Custom","OK",IF(COUNTIF(Schedule!$C$5:$C$1204,A277)=IF(H277="Weekly",4,IF(H277="Fortnightly",2,1)),"OK","CHECK VISITS")))))</x:f>
      </x:c>
      <x:c r="N277" s="100" t="str">
        <x:f>IF(A277="","",IF(COUNTIF($A$5:$A$404,A277)&gt;1,"DUPLICATE CLIENT",IF(B277="Active",IF(OR(F277="",G277="",H277="",J277=""),"COMPLETE CLIENT",IF(COUNTIF(Teams!$A$5:$A$104,J277)=0,"TEAM NOT FOUND","OK")),"OK")))</x:f>
      </x:c>
    </x:row>
    <x:row r="278">
      <x:c r="L278" s="100" t="str">
        <x:f>IF(A278="","",IF(B278&lt;&gt;"Active","NOT REQUIRED",IF(COUNTIF('Client Services'!$A$5:$A$1004,A278)=0,"ADD SERVICES","OK")))</x:f>
      </x:c>
      <x:c r="M278" s="100" t="str">
        <x:f>IF(A278="","",IF(B278&lt;&gt;"Active","NOT REQUIRED",IF(COUNTIF(Schedule!$C$5:$C$1204,A278)=0,"UNSCHEDULED",IF(H278="Custom","OK",IF(COUNTIF(Schedule!$C$5:$C$1204,A278)=IF(H278="Weekly",4,IF(H278="Fortnightly",2,1)),"OK","CHECK VISITS")))))</x:f>
      </x:c>
      <x:c r="N278" s="100" t="str">
        <x:f>IF(A278="","",IF(COUNTIF($A$5:$A$404,A278)&gt;1,"DUPLICATE CLIENT",IF(B278="Active",IF(OR(F278="",G278="",H278="",J278=""),"COMPLETE CLIENT",IF(COUNTIF(Teams!$A$5:$A$104,J278)=0,"TEAM NOT FOUND","OK")),"OK")))</x:f>
      </x:c>
    </x:row>
    <x:row r="279">
      <x:c r="L279" s="100" t="str">
        <x:f>IF(A279="","",IF(B279&lt;&gt;"Active","NOT REQUIRED",IF(COUNTIF('Client Services'!$A$5:$A$1004,A279)=0,"ADD SERVICES","OK")))</x:f>
      </x:c>
      <x:c r="M279" s="100" t="str">
        <x:f>IF(A279="","",IF(B279&lt;&gt;"Active","NOT REQUIRED",IF(COUNTIF(Schedule!$C$5:$C$1204,A279)=0,"UNSCHEDULED",IF(H279="Custom","OK",IF(COUNTIF(Schedule!$C$5:$C$1204,A279)=IF(H279="Weekly",4,IF(H279="Fortnightly",2,1)),"OK","CHECK VISITS")))))</x:f>
      </x:c>
      <x:c r="N279" s="100" t="str">
        <x:f>IF(A279="","",IF(COUNTIF($A$5:$A$404,A279)&gt;1,"DUPLICATE CLIENT",IF(B279="Active",IF(OR(F279="",G279="",H279="",J279=""),"COMPLETE CLIENT",IF(COUNTIF(Teams!$A$5:$A$104,J279)=0,"TEAM NOT FOUND","OK")),"OK")))</x:f>
      </x:c>
    </x:row>
    <x:row r="280">
      <x:c r="L280" s="100" t="str">
        <x:f>IF(A280="","",IF(B280&lt;&gt;"Active","NOT REQUIRED",IF(COUNTIF('Client Services'!$A$5:$A$1004,A280)=0,"ADD SERVICES","OK")))</x:f>
      </x:c>
      <x:c r="M280" s="100" t="str">
        <x:f>IF(A280="","",IF(B280&lt;&gt;"Active","NOT REQUIRED",IF(COUNTIF(Schedule!$C$5:$C$1204,A280)=0,"UNSCHEDULED",IF(H280="Custom","OK",IF(COUNTIF(Schedule!$C$5:$C$1204,A280)=IF(H280="Weekly",4,IF(H280="Fortnightly",2,1)),"OK","CHECK VISITS")))))</x:f>
      </x:c>
      <x:c r="N280" s="100" t="str">
        <x:f>IF(A280="","",IF(COUNTIF($A$5:$A$404,A280)&gt;1,"DUPLICATE CLIENT",IF(B280="Active",IF(OR(F280="",G280="",H280="",J280=""),"COMPLETE CLIENT",IF(COUNTIF(Teams!$A$5:$A$104,J280)=0,"TEAM NOT FOUND","OK")),"OK")))</x:f>
      </x:c>
    </x:row>
    <x:row r="281">
      <x:c r="L281" s="100" t="str">
        <x:f>IF(A281="","",IF(B281&lt;&gt;"Active","NOT REQUIRED",IF(COUNTIF('Client Services'!$A$5:$A$1004,A281)=0,"ADD SERVICES","OK")))</x:f>
      </x:c>
      <x:c r="M281" s="100" t="str">
        <x:f>IF(A281="","",IF(B281&lt;&gt;"Active","NOT REQUIRED",IF(COUNTIF(Schedule!$C$5:$C$1204,A281)=0,"UNSCHEDULED",IF(H281="Custom","OK",IF(COUNTIF(Schedule!$C$5:$C$1204,A281)=IF(H281="Weekly",4,IF(H281="Fortnightly",2,1)),"OK","CHECK VISITS")))))</x:f>
      </x:c>
      <x:c r="N281" s="100" t="str">
        <x:f>IF(A281="","",IF(COUNTIF($A$5:$A$404,A281)&gt;1,"DUPLICATE CLIENT",IF(B281="Active",IF(OR(F281="",G281="",H281="",J281=""),"COMPLETE CLIENT",IF(COUNTIF(Teams!$A$5:$A$104,J281)=0,"TEAM NOT FOUND","OK")),"OK")))</x:f>
      </x:c>
    </x:row>
    <x:row r="282">
      <x:c r="L282" s="100" t="str">
        <x:f>IF(A282="","",IF(B282&lt;&gt;"Active","NOT REQUIRED",IF(COUNTIF('Client Services'!$A$5:$A$1004,A282)=0,"ADD SERVICES","OK")))</x:f>
      </x:c>
      <x:c r="M282" s="100" t="str">
        <x:f>IF(A282="","",IF(B282&lt;&gt;"Active","NOT REQUIRED",IF(COUNTIF(Schedule!$C$5:$C$1204,A282)=0,"UNSCHEDULED",IF(H282="Custom","OK",IF(COUNTIF(Schedule!$C$5:$C$1204,A282)=IF(H282="Weekly",4,IF(H282="Fortnightly",2,1)),"OK","CHECK VISITS")))))</x:f>
      </x:c>
      <x:c r="N282" s="100" t="str">
        <x:f>IF(A282="","",IF(COUNTIF($A$5:$A$404,A282)&gt;1,"DUPLICATE CLIENT",IF(B282="Active",IF(OR(F282="",G282="",H282="",J282=""),"COMPLETE CLIENT",IF(COUNTIF(Teams!$A$5:$A$104,J282)=0,"TEAM NOT FOUND","OK")),"OK")))</x:f>
      </x:c>
    </x:row>
    <x:row r="283">
      <x:c r="L283" s="100" t="str">
        <x:f>IF(A283="","",IF(B283&lt;&gt;"Active","NOT REQUIRED",IF(COUNTIF('Client Services'!$A$5:$A$1004,A283)=0,"ADD SERVICES","OK")))</x:f>
      </x:c>
      <x:c r="M283" s="100" t="str">
        <x:f>IF(A283="","",IF(B283&lt;&gt;"Active","NOT REQUIRED",IF(COUNTIF(Schedule!$C$5:$C$1204,A283)=0,"UNSCHEDULED",IF(H283="Custom","OK",IF(COUNTIF(Schedule!$C$5:$C$1204,A283)=IF(H283="Weekly",4,IF(H283="Fortnightly",2,1)),"OK","CHECK VISITS")))))</x:f>
      </x:c>
      <x:c r="N283" s="100" t="str">
        <x:f>IF(A283="","",IF(COUNTIF($A$5:$A$404,A283)&gt;1,"DUPLICATE CLIENT",IF(B283="Active",IF(OR(F283="",G283="",H283="",J283=""),"COMPLETE CLIENT",IF(COUNTIF(Teams!$A$5:$A$104,J283)=0,"TEAM NOT FOUND","OK")),"OK")))</x:f>
      </x:c>
    </x:row>
    <x:row r="284">
      <x:c r="L284" s="100" t="str">
        <x:f>IF(A284="","",IF(B284&lt;&gt;"Active","NOT REQUIRED",IF(COUNTIF('Client Services'!$A$5:$A$1004,A284)=0,"ADD SERVICES","OK")))</x:f>
      </x:c>
      <x:c r="M284" s="100" t="str">
        <x:f>IF(A284="","",IF(B284&lt;&gt;"Active","NOT REQUIRED",IF(COUNTIF(Schedule!$C$5:$C$1204,A284)=0,"UNSCHEDULED",IF(H284="Custom","OK",IF(COUNTIF(Schedule!$C$5:$C$1204,A284)=IF(H284="Weekly",4,IF(H284="Fortnightly",2,1)),"OK","CHECK VISITS")))))</x:f>
      </x:c>
      <x:c r="N284" s="100" t="str">
        <x:f>IF(A284="","",IF(COUNTIF($A$5:$A$404,A284)&gt;1,"DUPLICATE CLIENT",IF(B284="Active",IF(OR(F284="",G284="",H284="",J284=""),"COMPLETE CLIENT",IF(COUNTIF(Teams!$A$5:$A$104,J284)=0,"TEAM NOT FOUND","OK")),"OK")))</x:f>
      </x:c>
    </x:row>
    <x:row r="285">
      <x:c r="L285" s="100" t="str">
        <x:f>IF(A285="","",IF(B285&lt;&gt;"Active","NOT REQUIRED",IF(COUNTIF('Client Services'!$A$5:$A$1004,A285)=0,"ADD SERVICES","OK")))</x:f>
      </x:c>
      <x:c r="M285" s="100" t="str">
        <x:f>IF(A285="","",IF(B285&lt;&gt;"Active","NOT REQUIRED",IF(COUNTIF(Schedule!$C$5:$C$1204,A285)=0,"UNSCHEDULED",IF(H285="Custom","OK",IF(COUNTIF(Schedule!$C$5:$C$1204,A285)=IF(H285="Weekly",4,IF(H285="Fortnightly",2,1)),"OK","CHECK VISITS")))))</x:f>
      </x:c>
      <x:c r="N285" s="100" t="str">
        <x:f>IF(A285="","",IF(COUNTIF($A$5:$A$404,A285)&gt;1,"DUPLICATE CLIENT",IF(B285="Active",IF(OR(F285="",G285="",H285="",J285=""),"COMPLETE CLIENT",IF(COUNTIF(Teams!$A$5:$A$104,J285)=0,"TEAM NOT FOUND","OK")),"OK")))</x:f>
      </x:c>
    </x:row>
    <x:row r="286">
      <x:c r="L286" s="100" t="str">
        <x:f>IF(A286="","",IF(B286&lt;&gt;"Active","NOT REQUIRED",IF(COUNTIF('Client Services'!$A$5:$A$1004,A286)=0,"ADD SERVICES","OK")))</x:f>
      </x:c>
      <x:c r="M286" s="100" t="str">
        <x:f>IF(A286="","",IF(B286&lt;&gt;"Active","NOT REQUIRED",IF(COUNTIF(Schedule!$C$5:$C$1204,A286)=0,"UNSCHEDULED",IF(H286="Custom","OK",IF(COUNTIF(Schedule!$C$5:$C$1204,A286)=IF(H286="Weekly",4,IF(H286="Fortnightly",2,1)),"OK","CHECK VISITS")))))</x:f>
      </x:c>
      <x:c r="N286" s="100" t="str">
        <x:f>IF(A286="","",IF(COUNTIF($A$5:$A$404,A286)&gt;1,"DUPLICATE CLIENT",IF(B286="Active",IF(OR(F286="",G286="",H286="",J286=""),"COMPLETE CLIENT",IF(COUNTIF(Teams!$A$5:$A$104,J286)=0,"TEAM NOT FOUND","OK")),"OK")))</x:f>
      </x:c>
    </x:row>
    <x:row r="287">
      <x:c r="L287" s="100" t="str">
        <x:f>IF(A287="","",IF(B287&lt;&gt;"Active","NOT REQUIRED",IF(COUNTIF('Client Services'!$A$5:$A$1004,A287)=0,"ADD SERVICES","OK")))</x:f>
      </x:c>
      <x:c r="M287" s="100" t="str">
        <x:f>IF(A287="","",IF(B287&lt;&gt;"Active","NOT REQUIRED",IF(COUNTIF(Schedule!$C$5:$C$1204,A287)=0,"UNSCHEDULED",IF(H287="Custom","OK",IF(COUNTIF(Schedule!$C$5:$C$1204,A287)=IF(H287="Weekly",4,IF(H287="Fortnightly",2,1)),"OK","CHECK VISITS")))))</x:f>
      </x:c>
      <x:c r="N287" s="100" t="str">
        <x:f>IF(A287="","",IF(COUNTIF($A$5:$A$404,A287)&gt;1,"DUPLICATE CLIENT",IF(B287="Active",IF(OR(F287="",G287="",H287="",J287=""),"COMPLETE CLIENT",IF(COUNTIF(Teams!$A$5:$A$104,J287)=0,"TEAM NOT FOUND","OK")),"OK")))</x:f>
      </x:c>
    </x:row>
    <x:row r="288">
      <x:c r="L288" s="100" t="str">
        <x:f>IF(A288="","",IF(B288&lt;&gt;"Active","NOT REQUIRED",IF(COUNTIF('Client Services'!$A$5:$A$1004,A288)=0,"ADD SERVICES","OK")))</x:f>
      </x:c>
      <x:c r="M288" s="100" t="str">
        <x:f>IF(A288="","",IF(B288&lt;&gt;"Active","NOT REQUIRED",IF(COUNTIF(Schedule!$C$5:$C$1204,A288)=0,"UNSCHEDULED",IF(H288="Custom","OK",IF(COUNTIF(Schedule!$C$5:$C$1204,A288)=IF(H288="Weekly",4,IF(H288="Fortnightly",2,1)),"OK","CHECK VISITS")))))</x:f>
      </x:c>
      <x:c r="N288" s="100" t="str">
        <x:f>IF(A288="","",IF(COUNTIF($A$5:$A$404,A288)&gt;1,"DUPLICATE CLIENT",IF(B288="Active",IF(OR(F288="",G288="",H288="",J288=""),"COMPLETE CLIENT",IF(COUNTIF(Teams!$A$5:$A$104,J288)=0,"TEAM NOT FOUND","OK")),"OK")))</x:f>
      </x:c>
    </x:row>
    <x:row r="289">
      <x:c r="L289" s="100" t="str">
        <x:f>IF(A289="","",IF(B289&lt;&gt;"Active","NOT REQUIRED",IF(COUNTIF('Client Services'!$A$5:$A$1004,A289)=0,"ADD SERVICES","OK")))</x:f>
      </x:c>
      <x:c r="M289" s="100" t="str">
        <x:f>IF(A289="","",IF(B289&lt;&gt;"Active","NOT REQUIRED",IF(COUNTIF(Schedule!$C$5:$C$1204,A289)=0,"UNSCHEDULED",IF(H289="Custom","OK",IF(COUNTIF(Schedule!$C$5:$C$1204,A289)=IF(H289="Weekly",4,IF(H289="Fortnightly",2,1)),"OK","CHECK VISITS")))))</x:f>
      </x:c>
      <x:c r="N289" s="100" t="str">
        <x:f>IF(A289="","",IF(COUNTIF($A$5:$A$404,A289)&gt;1,"DUPLICATE CLIENT",IF(B289="Active",IF(OR(F289="",G289="",H289="",J289=""),"COMPLETE CLIENT",IF(COUNTIF(Teams!$A$5:$A$104,J289)=0,"TEAM NOT FOUND","OK")),"OK")))</x:f>
      </x:c>
    </x:row>
    <x:row r="290">
      <x:c r="L290" s="100" t="str">
        <x:f>IF(A290="","",IF(B290&lt;&gt;"Active","NOT REQUIRED",IF(COUNTIF('Client Services'!$A$5:$A$1004,A290)=0,"ADD SERVICES","OK")))</x:f>
      </x:c>
      <x:c r="M290" s="100" t="str">
        <x:f>IF(A290="","",IF(B290&lt;&gt;"Active","NOT REQUIRED",IF(COUNTIF(Schedule!$C$5:$C$1204,A290)=0,"UNSCHEDULED",IF(H290="Custom","OK",IF(COUNTIF(Schedule!$C$5:$C$1204,A290)=IF(H290="Weekly",4,IF(H290="Fortnightly",2,1)),"OK","CHECK VISITS")))))</x:f>
      </x:c>
      <x:c r="N290" s="100" t="str">
        <x:f>IF(A290="","",IF(COUNTIF($A$5:$A$404,A290)&gt;1,"DUPLICATE CLIENT",IF(B290="Active",IF(OR(F290="",G290="",H290="",J290=""),"COMPLETE CLIENT",IF(COUNTIF(Teams!$A$5:$A$104,J290)=0,"TEAM NOT FOUND","OK")),"OK")))</x:f>
      </x:c>
    </x:row>
    <x:row r="291">
      <x:c r="L291" s="100" t="str">
        <x:f>IF(A291="","",IF(B291&lt;&gt;"Active","NOT REQUIRED",IF(COUNTIF('Client Services'!$A$5:$A$1004,A291)=0,"ADD SERVICES","OK")))</x:f>
      </x:c>
      <x:c r="M291" s="100" t="str">
        <x:f>IF(A291="","",IF(B291&lt;&gt;"Active","NOT REQUIRED",IF(COUNTIF(Schedule!$C$5:$C$1204,A291)=0,"UNSCHEDULED",IF(H291="Custom","OK",IF(COUNTIF(Schedule!$C$5:$C$1204,A291)=IF(H291="Weekly",4,IF(H291="Fortnightly",2,1)),"OK","CHECK VISITS")))))</x:f>
      </x:c>
      <x:c r="N291" s="100" t="str">
        <x:f>IF(A291="","",IF(COUNTIF($A$5:$A$404,A291)&gt;1,"DUPLICATE CLIENT",IF(B291="Active",IF(OR(F291="",G291="",H291="",J291=""),"COMPLETE CLIENT",IF(COUNTIF(Teams!$A$5:$A$104,J291)=0,"TEAM NOT FOUND","OK")),"OK")))</x:f>
      </x:c>
    </x:row>
    <x:row r="292">
      <x:c r="L292" s="100" t="str">
        <x:f>IF(A292="","",IF(B292&lt;&gt;"Active","NOT REQUIRED",IF(COUNTIF('Client Services'!$A$5:$A$1004,A292)=0,"ADD SERVICES","OK")))</x:f>
      </x:c>
      <x:c r="M292" s="100" t="str">
        <x:f>IF(A292="","",IF(B292&lt;&gt;"Active","NOT REQUIRED",IF(COUNTIF(Schedule!$C$5:$C$1204,A292)=0,"UNSCHEDULED",IF(H292="Custom","OK",IF(COUNTIF(Schedule!$C$5:$C$1204,A292)=IF(H292="Weekly",4,IF(H292="Fortnightly",2,1)),"OK","CHECK VISITS")))))</x:f>
      </x:c>
      <x:c r="N292" s="100" t="str">
        <x:f>IF(A292="","",IF(COUNTIF($A$5:$A$404,A292)&gt;1,"DUPLICATE CLIENT",IF(B292="Active",IF(OR(F292="",G292="",H292="",J292=""),"COMPLETE CLIENT",IF(COUNTIF(Teams!$A$5:$A$104,J292)=0,"TEAM NOT FOUND","OK")),"OK")))</x:f>
      </x:c>
    </x:row>
    <x:row r="293">
      <x:c r="L293" s="100" t="str">
        <x:f>IF(A293="","",IF(B293&lt;&gt;"Active","NOT REQUIRED",IF(COUNTIF('Client Services'!$A$5:$A$1004,A293)=0,"ADD SERVICES","OK")))</x:f>
      </x:c>
      <x:c r="M293" s="100" t="str">
        <x:f>IF(A293="","",IF(B293&lt;&gt;"Active","NOT REQUIRED",IF(COUNTIF(Schedule!$C$5:$C$1204,A293)=0,"UNSCHEDULED",IF(H293="Custom","OK",IF(COUNTIF(Schedule!$C$5:$C$1204,A293)=IF(H293="Weekly",4,IF(H293="Fortnightly",2,1)),"OK","CHECK VISITS")))))</x:f>
      </x:c>
      <x:c r="N293" s="100" t="str">
        <x:f>IF(A293="","",IF(COUNTIF($A$5:$A$404,A293)&gt;1,"DUPLICATE CLIENT",IF(B293="Active",IF(OR(F293="",G293="",H293="",J293=""),"COMPLETE CLIENT",IF(COUNTIF(Teams!$A$5:$A$104,J293)=0,"TEAM NOT FOUND","OK")),"OK")))</x:f>
      </x:c>
    </x:row>
    <x:row r="294">
      <x:c r="L294" s="100" t="str">
        <x:f>IF(A294="","",IF(B294&lt;&gt;"Active","NOT REQUIRED",IF(COUNTIF('Client Services'!$A$5:$A$1004,A294)=0,"ADD SERVICES","OK")))</x:f>
      </x:c>
      <x:c r="M294" s="100" t="str">
        <x:f>IF(A294="","",IF(B294&lt;&gt;"Active","NOT REQUIRED",IF(COUNTIF(Schedule!$C$5:$C$1204,A294)=0,"UNSCHEDULED",IF(H294="Custom","OK",IF(COUNTIF(Schedule!$C$5:$C$1204,A294)=IF(H294="Weekly",4,IF(H294="Fortnightly",2,1)),"OK","CHECK VISITS")))))</x:f>
      </x:c>
      <x:c r="N294" s="100" t="str">
        <x:f>IF(A294="","",IF(COUNTIF($A$5:$A$404,A294)&gt;1,"DUPLICATE CLIENT",IF(B294="Active",IF(OR(F294="",G294="",H294="",J294=""),"COMPLETE CLIENT",IF(COUNTIF(Teams!$A$5:$A$104,J294)=0,"TEAM NOT FOUND","OK")),"OK")))</x:f>
      </x:c>
    </x:row>
    <x:row r="295">
      <x:c r="L295" s="100" t="str">
        <x:f>IF(A295="","",IF(B295&lt;&gt;"Active","NOT REQUIRED",IF(COUNTIF('Client Services'!$A$5:$A$1004,A295)=0,"ADD SERVICES","OK")))</x:f>
      </x:c>
      <x:c r="M295" s="100" t="str">
        <x:f>IF(A295="","",IF(B295&lt;&gt;"Active","NOT REQUIRED",IF(COUNTIF(Schedule!$C$5:$C$1204,A295)=0,"UNSCHEDULED",IF(H295="Custom","OK",IF(COUNTIF(Schedule!$C$5:$C$1204,A295)=IF(H295="Weekly",4,IF(H295="Fortnightly",2,1)),"OK","CHECK VISITS")))))</x:f>
      </x:c>
      <x:c r="N295" s="100" t="str">
        <x:f>IF(A295="","",IF(COUNTIF($A$5:$A$404,A295)&gt;1,"DUPLICATE CLIENT",IF(B295="Active",IF(OR(F295="",G295="",H295="",J295=""),"COMPLETE CLIENT",IF(COUNTIF(Teams!$A$5:$A$104,J295)=0,"TEAM NOT FOUND","OK")),"OK")))</x:f>
      </x:c>
    </x:row>
    <x:row r="296">
      <x:c r="L296" s="100" t="str">
        <x:f>IF(A296="","",IF(B296&lt;&gt;"Active","NOT REQUIRED",IF(COUNTIF('Client Services'!$A$5:$A$1004,A296)=0,"ADD SERVICES","OK")))</x:f>
      </x:c>
      <x:c r="M296" s="100" t="str">
        <x:f>IF(A296="","",IF(B296&lt;&gt;"Active","NOT REQUIRED",IF(COUNTIF(Schedule!$C$5:$C$1204,A296)=0,"UNSCHEDULED",IF(H296="Custom","OK",IF(COUNTIF(Schedule!$C$5:$C$1204,A296)=IF(H296="Weekly",4,IF(H296="Fortnightly",2,1)),"OK","CHECK VISITS")))))</x:f>
      </x:c>
      <x:c r="N296" s="100" t="str">
        <x:f>IF(A296="","",IF(COUNTIF($A$5:$A$404,A296)&gt;1,"DUPLICATE CLIENT",IF(B296="Active",IF(OR(F296="",G296="",H296="",J296=""),"COMPLETE CLIENT",IF(COUNTIF(Teams!$A$5:$A$104,J296)=0,"TEAM NOT FOUND","OK")),"OK")))</x:f>
      </x:c>
    </x:row>
    <x:row r="297">
      <x:c r="L297" s="100" t="str">
        <x:f>IF(A297="","",IF(B297&lt;&gt;"Active","NOT REQUIRED",IF(COUNTIF('Client Services'!$A$5:$A$1004,A297)=0,"ADD SERVICES","OK")))</x:f>
      </x:c>
      <x:c r="M297" s="100" t="str">
        <x:f>IF(A297="","",IF(B297&lt;&gt;"Active","NOT REQUIRED",IF(COUNTIF(Schedule!$C$5:$C$1204,A297)=0,"UNSCHEDULED",IF(H297="Custom","OK",IF(COUNTIF(Schedule!$C$5:$C$1204,A297)=IF(H297="Weekly",4,IF(H297="Fortnightly",2,1)),"OK","CHECK VISITS")))))</x:f>
      </x:c>
      <x:c r="N297" s="100" t="str">
        <x:f>IF(A297="","",IF(COUNTIF($A$5:$A$404,A297)&gt;1,"DUPLICATE CLIENT",IF(B297="Active",IF(OR(F297="",G297="",H297="",J297=""),"COMPLETE CLIENT",IF(COUNTIF(Teams!$A$5:$A$104,J297)=0,"TEAM NOT FOUND","OK")),"OK")))</x:f>
      </x:c>
    </x:row>
    <x:row r="298">
      <x:c r="L298" s="100" t="str">
        <x:f>IF(A298="","",IF(B298&lt;&gt;"Active","NOT REQUIRED",IF(COUNTIF('Client Services'!$A$5:$A$1004,A298)=0,"ADD SERVICES","OK")))</x:f>
      </x:c>
      <x:c r="M298" s="100" t="str">
        <x:f>IF(A298="","",IF(B298&lt;&gt;"Active","NOT REQUIRED",IF(COUNTIF(Schedule!$C$5:$C$1204,A298)=0,"UNSCHEDULED",IF(H298="Custom","OK",IF(COUNTIF(Schedule!$C$5:$C$1204,A298)=IF(H298="Weekly",4,IF(H298="Fortnightly",2,1)),"OK","CHECK VISITS")))))</x:f>
      </x:c>
      <x:c r="N298" s="100" t="str">
        <x:f>IF(A298="","",IF(COUNTIF($A$5:$A$404,A298)&gt;1,"DUPLICATE CLIENT",IF(B298="Active",IF(OR(F298="",G298="",H298="",J298=""),"COMPLETE CLIENT",IF(COUNTIF(Teams!$A$5:$A$104,J298)=0,"TEAM NOT FOUND","OK")),"OK")))</x:f>
      </x:c>
    </x:row>
    <x:row r="299">
      <x:c r="L299" s="100" t="str">
        <x:f>IF(A299="","",IF(B299&lt;&gt;"Active","NOT REQUIRED",IF(COUNTIF('Client Services'!$A$5:$A$1004,A299)=0,"ADD SERVICES","OK")))</x:f>
      </x:c>
      <x:c r="M299" s="100" t="str">
        <x:f>IF(A299="","",IF(B299&lt;&gt;"Active","NOT REQUIRED",IF(COUNTIF(Schedule!$C$5:$C$1204,A299)=0,"UNSCHEDULED",IF(H299="Custom","OK",IF(COUNTIF(Schedule!$C$5:$C$1204,A299)=IF(H299="Weekly",4,IF(H299="Fortnightly",2,1)),"OK","CHECK VISITS")))))</x:f>
      </x:c>
      <x:c r="N299" s="100" t="str">
        <x:f>IF(A299="","",IF(COUNTIF($A$5:$A$404,A299)&gt;1,"DUPLICATE CLIENT",IF(B299="Active",IF(OR(F299="",G299="",H299="",J299=""),"COMPLETE CLIENT",IF(COUNTIF(Teams!$A$5:$A$104,J299)=0,"TEAM NOT FOUND","OK")),"OK")))</x:f>
      </x:c>
    </x:row>
    <x:row r="300">
      <x:c r="L300" s="100" t="str">
        <x:f>IF(A300="","",IF(B300&lt;&gt;"Active","NOT REQUIRED",IF(COUNTIF('Client Services'!$A$5:$A$1004,A300)=0,"ADD SERVICES","OK")))</x:f>
      </x:c>
      <x:c r="M300" s="100" t="str">
        <x:f>IF(A300="","",IF(B300&lt;&gt;"Active","NOT REQUIRED",IF(COUNTIF(Schedule!$C$5:$C$1204,A300)=0,"UNSCHEDULED",IF(H300="Custom","OK",IF(COUNTIF(Schedule!$C$5:$C$1204,A300)=IF(H300="Weekly",4,IF(H300="Fortnightly",2,1)),"OK","CHECK VISITS")))))</x:f>
      </x:c>
      <x:c r="N300" s="100" t="str">
        <x:f>IF(A300="","",IF(COUNTIF($A$5:$A$404,A300)&gt;1,"DUPLICATE CLIENT",IF(B300="Active",IF(OR(F300="",G300="",H300="",J300=""),"COMPLETE CLIENT",IF(COUNTIF(Teams!$A$5:$A$104,J300)=0,"TEAM NOT FOUND","OK")),"OK")))</x:f>
      </x:c>
    </x:row>
    <x:row r="301">
      <x:c r="L301" s="100" t="str">
        <x:f>IF(A301="","",IF(B301&lt;&gt;"Active","NOT REQUIRED",IF(COUNTIF('Client Services'!$A$5:$A$1004,A301)=0,"ADD SERVICES","OK")))</x:f>
      </x:c>
      <x:c r="M301" s="100" t="str">
        <x:f>IF(A301="","",IF(B301&lt;&gt;"Active","NOT REQUIRED",IF(COUNTIF(Schedule!$C$5:$C$1204,A301)=0,"UNSCHEDULED",IF(H301="Custom","OK",IF(COUNTIF(Schedule!$C$5:$C$1204,A301)=IF(H301="Weekly",4,IF(H301="Fortnightly",2,1)),"OK","CHECK VISITS")))))</x:f>
      </x:c>
      <x:c r="N301" s="100" t="str">
        <x:f>IF(A301="","",IF(COUNTIF($A$5:$A$404,A301)&gt;1,"DUPLICATE CLIENT",IF(B301="Active",IF(OR(F301="",G301="",H301="",J301=""),"COMPLETE CLIENT",IF(COUNTIF(Teams!$A$5:$A$104,J301)=0,"TEAM NOT FOUND","OK")),"OK")))</x:f>
      </x:c>
    </x:row>
    <x:row r="302">
      <x:c r="L302" s="100" t="str">
        <x:f>IF(A302="","",IF(B302&lt;&gt;"Active","NOT REQUIRED",IF(COUNTIF('Client Services'!$A$5:$A$1004,A302)=0,"ADD SERVICES","OK")))</x:f>
      </x:c>
      <x:c r="M302" s="100" t="str">
        <x:f>IF(A302="","",IF(B302&lt;&gt;"Active","NOT REQUIRED",IF(COUNTIF(Schedule!$C$5:$C$1204,A302)=0,"UNSCHEDULED",IF(H302="Custom","OK",IF(COUNTIF(Schedule!$C$5:$C$1204,A302)=IF(H302="Weekly",4,IF(H302="Fortnightly",2,1)),"OK","CHECK VISITS")))))</x:f>
      </x:c>
      <x:c r="N302" s="100" t="str">
        <x:f>IF(A302="","",IF(COUNTIF($A$5:$A$404,A302)&gt;1,"DUPLICATE CLIENT",IF(B302="Active",IF(OR(F302="",G302="",H302="",J302=""),"COMPLETE CLIENT",IF(COUNTIF(Teams!$A$5:$A$104,J302)=0,"TEAM NOT FOUND","OK")),"OK")))</x:f>
      </x:c>
    </x:row>
    <x:row r="303">
      <x:c r="L303" s="100" t="str">
        <x:f>IF(A303="","",IF(B303&lt;&gt;"Active","NOT REQUIRED",IF(COUNTIF('Client Services'!$A$5:$A$1004,A303)=0,"ADD SERVICES","OK")))</x:f>
      </x:c>
      <x:c r="M303" s="100" t="str">
        <x:f>IF(A303="","",IF(B303&lt;&gt;"Active","NOT REQUIRED",IF(COUNTIF(Schedule!$C$5:$C$1204,A303)=0,"UNSCHEDULED",IF(H303="Custom","OK",IF(COUNTIF(Schedule!$C$5:$C$1204,A303)=IF(H303="Weekly",4,IF(H303="Fortnightly",2,1)),"OK","CHECK VISITS")))))</x:f>
      </x:c>
      <x:c r="N303" s="100" t="str">
        <x:f>IF(A303="","",IF(COUNTIF($A$5:$A$404,A303)&gt;1,"DUPLICATE CLIENT",IF(B303="Active",IF(OR(F303="",G303="",H303="",J303=""),"COMPLETE CLIENT",IF(COUNTIF(Teams!$A$5:$A$104,J303)=0,"TEAM NOT FOUND","OK")),"OK")))</x:f>
      </x:c>
    </x:row>
    <x:row r="304">
      <x:c r="L304" s="100" t="str">
        <x:f>IF(A304="","",IF(B304&lt;&gt;"Active","NOT REQUIRED",IF(COUNTIF('Client Services'!$A$5:$A$1004,A304)=0,"ADD SERVICES","OK")))</x:f>
      </x:c>
      <x:c r="M304" s="100" t="str">
        <x:f>IF(A304="","",IF(B304&lt;&gt;"Active","NOT REQUIRED",IF(COUNTIF(Schedule!$C$5:$C$1204,A304)=0,"UNSCHEDULED",IF(H304="Custom","OK",IF(COUNTIF(Schedule!$C$5:$C$1204,A304)=IF(H304="Weekly",4,IF(H304="Fortnightly",2,1)),"OK","CHECK VISITS")))))</x:f>
      </x:c>
      <x:c r="N304" s="100" t="str">
        <x:f>IF(A304="","",IF(COUNTIF($A$5:$A$404,A304)&gt;1,"DUPLICATE CLIENT",IF(B304="Active",IF(OR(F304="",G304="",H304="",J304=""),"COMPLETE CLIENT",IF(COUNTIF(Teams!$A$5:$A$104,J304)=0,"TEAM NOT FOUND","OK")),"OK")))</x:f>
      </x:c>
    </x:row>
    <x:row r="305">
      <x:c r="L305" s="100" t="str">
        <x:f>IF(A305="","",IF(B305&lt;&gt;"Active","NOT REQUIRED",IF(COUNTIF('Client Services'!$A$5:$A$1004,A305)=0,"ADD SERVICES","OK")))</x:f>
      </x:c>
      <x:c r="M305" s="100" t="str">
        <x:f>IF(A305="","",IF(B305&lt;&gt;"Active","NOT REQUIRED",IF(COUNTIF(Schedule!$C$5:$C$1204,A305)=0,"UNSCHEDULED",IF(H305="Custom","OK",IF(COUNTIF(Schedule!$C$5:$C$1204,A305)=IF(H305="Weekly",4,IF(H305="Fortnightly",2,1)),"OK","CHECK VISITS")))))</x:f>
      </x:c>
      <x:c r="N305" s="100" t="str">
        <x:f>IF(A305="","",IF(COUNTIF($A$5:$A$404,A305)&gt;1,"DUPLICATE CLIENT",IF(B305="Active",IF(OR(F305="",G305="",H305="",J305=""),"COMPLETE CLIENT",IF(COUNTIF(Teams!$A$5:$A$104,J305)=0,"TEAM NOT FOUND","OK")),"OK")))</x:f>
      </x:c>
    </x:row>
    <x:row r="306">
      <x:c r="L306" s="100" t="str">
        <x:f>IF(A306="","",IF(B306&lt;&gt;"Active","NOT REQUIRED",IF(COUNTIF('Client Services'!$A$5:$A$1004,A306)=0,"ADD SERVICES","OK")))</x:f>
      </x:c>
      <x:c r="M306" s="100" t="str">
        <x:f>IF(A306="","",IF(B306&lt;&gt;"Active","NOT REQUIRED",IF(COUNTIF(Schedule!$C$5:$C$1204,A306)=0,"UNSCHEDULED",IF(H306="Custom","OK",IF(COUNTIF(Schedule!$C$5:$C$1204,A306)=IF(H306="Weekly",4,IF(H306="Fortnightly",2,1)),"OK","CHECK VISITS")))))</x:f>
      </x:c>
      <x:c r="N306" s="100" t="str">
        <x:f>IF(A306="","",IF(COUNTIF($A$5:$A$404,A306)&gt;1,"DUPLICATE CLIENT",IF(B306="Active",IF(OR(F306="",G306="",H306="",J306=""),"COMPLETE CLIENT",IF(COUNTIF(Teams!$A$5:$A$104,J306)=0,"TEAM NOT FOUND","OK")),"OK")))</x:f>
      </x:c>
    </x:row>
    <x:row r="307">
      <x:c r="L307" s="100" t="str">
        <x:f>IF(A307="","",IF(B307&lt;&gt;"Active","NOT REQUIRED",IF(COUNTIF('Client Services'!$A$5:$A$1004,A307)=0,"ADD SERVICES","OK")))</x:f>
      </x:c>
      <x:c r="M307" s="100" t="str">
        <x:f>IF(A307="","",IF(B307&lt;&gt;"Active","NOT REQUIRED",IF(COUNTIF(Schedule!$C$5:$C$1204,A307)=0,"UNSCHEDULED",IF(H307="Custom","OK",IF(COUNTIF(Schedule!$C$5:$C$1204,A307)=IF(H307="Weekly",4,IF(H307="Fortnightly",2,1)),"OK","CHECK VISITS")))))</x:f>
      </x:c>
      <x:c r="N307" s="100" t="str">
        <x:f>IF(A307="","",IF(COUNTIF($A$5:$A$404,A307)&gt;1,"DUPLICATE CLIENT",IF(B307="Active",IF(OR(F307="",G307="",H307="",J307=""),"COMPLETE CLIENT",IF(COUNTIF(Teams!$A$5:$A$104,J307)=0,"TEAM NOT FOUND","OK")),"OK")))</x:f>
      </x:c>
    </x:row>
    <x:row r="308">
      <x:c r="L308" s="100" t="str">
        <x:f>IF(A308="","",IF(B308&lt;&gt;"Active","NOT REQUIRED",IF(COUNTIF('Client Services'!$A$5:$A$1004,A308)=0,"ADD SERVICES","OK")))</x:f>
      </x:c>
      <x:c r="M308" s="100" t="str">
        <x:f>IF(A308="","",IF(B308&lt;&gt;"Active","NOT REQUIRED",IF(COUNTIF(Schedule!$C$5:$C$1204,A308)=0,"UNSCHEDULED",IF(H308="Custom","OK",IF(COUNTIF(Schedule!$C$5:$C$1204,A308)=IF(H308="Weekly",4,IF(H308="Fortnightly",2,1)),"OK","CHECK VISITS")))))</x:f>
      </x:c>
      <x:c r="N308" s="100" t="str">
        <x:f>IF(A308="","",IF(COUNTIF($A$5:$A$404,A308)&gt;1,"DUPLICATE CLIENT",IF(B308="Active",IF(OR(F308="",G308="",H308="",J308=""),"COMPLETE CLIENT",IF(COUNTIF(Teams!$A$5:$A$104,J308)=0,"TEAM NOT FOUND","OK")),"OK")))</x:f>
      </x:c>
    </x:row>
    <x:row r="309">
      <x:c r="L309" s="100" t="str">
        <x:f>IF(A309="","",IF(B309&lt;&gt;"Active","NOT REQUIRED",IF(COUNTIF('Client Services'!$A$5:$A$1004,A309)=0,"ADD SERVICES","OK")))</x:f>
      </x:c>
      <x:c r="M309" s="100" t="str">
        <x:f>IF(A309="","",IF(B309&lt;&gt;"Active","NOT REQUIRED",IF(COUNTIF(Schedule!$C$5:$C$1204,A309)=0,"UNSCHEDULED",IF(H309="Custom","OK",IF(COUNTIF(Schedule!$C$5:$C$1204,A309)=IF(H309="Weekly",4,IF(H309="Fortnightly",2,1)),"OK","CHECK VISITS")))))</x:f>
      </x:c>
      <x:c r="N309" s="100" t="str">
        <x:f>IF(A309="","",IF(COUNTIF($A$5:$A$404,A309)&gt;1,"DUPLICATE CLIENT",IF(B309="Active",IF(OR(F309="",G309="",H309="",J309=""),"COMPLETE CLIENT",IF(COUNTIF(Teams!$A$5:$A$104,J309)=0,"TEAM NOT FOUND","OK")),"OK")))</x:f>
      </x:c>
    </x:row>
    <x:row r="310">
      <x:c r="L310" s="100" t="str">
        <x:f>IF(A310="","",IF(B310&lt;&gt;"Active","NOT REQUIRED",IF(COUNTIF('Client Services'!$A$5:$A$1004,A310)=0,"ADD SERVICES","OK")))</x:f>
      </x:c>
      <x:c r="M310" s="100" t="str">
        <x:f>IF(A310="","",IF(B310&lt;&gt;"Active","NOT REQUIRED",IF(COUNTIF(Schedule!$C$5:$C$1204,A310)=0,"UNSCHEDULED",IF(H310="Custom","OK",IF(COUNTIF(Schedule!$C$5:$C$1204,A310)=IF(H310="Weekly",4,IF(H310="Fortnightly",2,1)),"OK","CHECK VISITS")))))</x:f>
      </x:c>
      <x:c r="N310" s="100" t="str">
        <x:f>IF(A310="","",IF(COUNTIF($A$5:$A$404,A310)&gt;1,"DUPLICATE CLIENT",IF(B310="Active",IF(OR(F310="",G310="",H310="",J310=""),"COMPLETE CLIENT",IF(COUNTIF(Teams!$A$5:$A$104,J310)=0,"TEAM NOT FOUND","OK")),"OK")))</x:f>
      </x:c>
    </x:row>
    <x:row r="311">
      <x:c r="L311" s="100" t="str">
        <x:f>IF(A311="","",IF(B311&lt;&gt;"Active","NOT REQUIRED",IF(COUNTIF('Client Services'!$A$5:$A$1004,A311)=0,"ADD SERVICES","OK")))</x:f>
      </x:c>
      <x:c r="M311" s="100" t="str">
        <x:f>IF(A311="","",IF(B311&lt;&gt;"Active","NOT REQUIRED",IF(COUNTIF(Schedule!$C$5:$C$1204,A311)=0,"UNSCHEDULED",IF(H311="Custom","OK",IF(COUNTIF(Schedule!$C$5:$C$1204,A311)=IF(H311="Weekly",4,IF(H311="Fortnightly",2,1)),"OK","CHECK VISITS")))))</x:f>
      </x:c>
      <x:c r="N311" s="100" t="str">
        <x:f>IF(A311="","",IF(COUNTIF($A$5:$A$404,A311)&gt;1,"DUPLICATE CLIENT",IF(B311="Active",IF(OR(F311="",G311="",H311="",J311=""),"COMPLETE CLIENT",IF(COUNTIF(Teams!$A$5:$A$104,J311)=0,"TEAM NOT FOUND","OK")),"OK")))</x:f>
      </x:c>
    </x:row>
    <x:row r="312">
      <x:c r="L312" s="100" t="str">
        <x:f>IF(A312="","",IF(B312&lt;&gt;"Active","NOT REQUIRED",IF(COUNTIF('Client Services'!$A$5:$A$1004,A312)=0,"ADD SERVICES","OK")))</x:f>
      </x:c>
      <x:c r="M312" s="100" t="str">
        <x:f>IF(A312="","",IF(B312&lt;&gt;"Active","NOT REQUIRED",IF(COUNTIF(Schedule!$C$5:$C$1204,A312)=0,"UNSCHEDULED",IF(H312="Custom","OK",IF(COUNTIF(Schedule!$C$5:$C$1204,A312)=IF(H312="Weekly",4,IF(H312="Fortnightly",2,1)),"OK","CHECK VISITS")))))</x:f>
      </x:c>
      <x:c r="N312" s="100" t="str">
        <x:f>IF(A312="","",IF(COUNTIF($A$5:$A$404,A312)&gt;1,"DUPLICATE CLIENT",IF(B312="Active",IF(OR(F312="",G312="",H312="",J312=""),"COMPLETE CLIENT",IF(COUNTIF(Teams!$A$5:$A$104,J312)=0,"TEAM NOT FOUND","OK")),"OK")))</x:f>
      </x:c>
    </x:row>
    <x:row r="313">
      <x:c r="L313" s="100" t="str">
        <x:f>IF(A313="","",IF(B313&lt;&gt;"Active","NOT REQUIRED",IF(COUNTIF('Client Services'!$A$5:$A$1004,A313)=0,"ADD SERVICES","OK")))</x:f>
      </x:c>
      <x:c r="M313" s="100" t="str">
        <x:f>IF(A313="","",IF(B313&lt;&gt;"Active","NOT REQUIRED",IF(COUNTIF(Schedule!$C$5:$C$1204,A313)=0,"UNSCHEDULED",IF(H313="Custom","OK",IF(COUNTIF(Schedule!$C$5:$C$1204,A313)=IF(H313="Weekly",4,IF(H313="Fortnightly",2,1)),"OK","CHECK VISITS")))))</x:f>
      </x:c>
      <x:c r="N313" s="100" t="str">
        <x:f>IF(A313="","",IF(COUNTIF($A$5:$A$404,A313)&gt;1,"DUPLICATE CLIENT",IF(B313="Active",IF(OR(F313="",G313="",H313="",J313=""),"COMPLETE CLIENT",IF(COUNTIF(Teams!$A$5:$A$104,J313)=0,"TEAM NOT FOUND","OK")),"OK")))</x:f>
      </x:c>
    </x:row>
    <x:row r="314">
      <x:c r="L314" s="100" t="str">
        <x:f>IF(A314="","",IF(B314&lt;&gt;"Active","NOT REQUIRED",IF(COUNTIF('Client Services'!$A$5:$A$1004,A314)=0,"ADD SERVICES","OK")))</x:f>
      </x:c>
      <x:c r="M314" s="100" t="str">
        <x:f>IF(A314="","",IF(B314&lt;&gt;"Active","NOT REQUIRED",IF(COUNTIF(Schedule!$C$5:$C$1204,A314)=0,"UNSCHEDULED",IF(H314="Custom","OK",IF(COUNTIF(Schedule!$C$5:$C$1204,A314)=IF(H314="Weekly",4,IF(H314="Fortnightly",2,1)),"OK","CHECK VISITS")))))</x:f>
      </x:c>
      <x:c r="N314" s="100" t="str">
        <x:f>IF(A314="","",IF(COUNTIF($A$5:$A$404,A314)&gt;1,"DUPLICATE CLIENT",IF(B314="Active",IF(OR(F314="",G314="",H314="",J314=""),"COMPLETE CLIENT",IF(COUNTIF(Teams!$A$5:$A$104,J314)=0,"TEAM NOT FOUND","OK")),"OK")))</x:f>
      </x:c>
    </x:row>
    <x:row r="315">
      <x:c r="L315" s="100" t="str">
        <x:f>IF(A315="","",IF(B315&lt;&gt;"Active","NOT REQUIRED",IF(COUNTIF('Client Services'!$A$5:$A$1004,A315)=0,"ADD SERVICES","OK")))</x:f>
      </x:c>
      <x:c r="M315" s="100" t="str">
        <x:f>IF(A315="","",IF(B315&lt;&gt;"Active","NOT REQUIRED",IF(COUNTIF(Schedule!$C$5:$C$1204,A315)=0,"UNSCHEDULED",IF(H315="Custom","OK",IF(COUNTIF(Schedule!$C$5:$C$1204,A315)=IF(H315="Weekly",4,IF(H315="Fortnightly",2,1)),"OK","CHECK VISITS")))))</x:f>
      </x:c>
      <x:c r="N315" s="100" t="str">
        <x:f>IF(A315="","",IF(COUNTIF($A$5:$A$404,A315)&gt;1,"DUPLICATE CLIENT",IF(B315="Active",IF(OR(F315="",G315="",H315="",J315=""),"COMPLETE CLIENT",IF(COUNTIF(Teams!$A$5:$A$104,J315)=0,"TEAM NOT FOUND","OK")),"OK")))</x:f>
      </x:c>
    </x:row>
    <x:row r="316">
      <x:c r="L316" s="100" t="str">
        <x:f>IF(A316="","",IF(B316&lt;&gt;"Active","NOT REQUIRED",IF(COUNTIF('Client Services'!$A$5:$A$1004,A316)=0,"ADD SERVICES","OK")))</x:f>
      </x:c>
      <x:c r="M316" s="100" t="str">
        <x:f>IF(A316="","",IF(B316&lt;&gt;"Active","NOT REQUIRED",IF(COUNTIF(Schedule!$C$5:$C$1204,A316)=0,"UNSCHEDULED",IF(H316="Custom","OK",IF(COUNTIF(Schedule!$C$5:$C$1204,A316)=IF(H316="Weekly",4,IF(H316="Fortnightly",2,1)),"OK","CHECK VISITS")))))</x:f>
      </x:c>
      <x:c r="N316" s="100" t="str">
        <x:f>IF(A316="","",IF(COUNTIF($A$5:$A$404,A316)&gt;1,"DUPLICATE CLIENT",IF(B316="Active",IF(OR(F316="",G316="",H316="",J316=""),"COMPLETE CLIENT",IF(COUNTIF(Teams!$A$5:$A$104,J316)=0,"TEAM NOT FOUND","OK")),"OK")))</x:f>
      </x:c>
    </x:row>
    <x:row r="317">
      <x:c r="L317" s="100" t="str">
        <x:f>IF(A317="","",IF(B317&lt;&gt;"Active","NOT REQUIRED",IF(COUNTIF('Client Services'!$A$5:$A$1004,A317)=0,"ADD SERVICES","OK")))</x:f>
      </x:c>
      <x:c r="M317" s="100" t="str">
        <x:f>IF(A317="","",IF(B317&lt;&gt;"Active","NOT REQUIRED",IF(COUNTIF(Schedule!$C$5:$C$1204,A317)=0,"UNSCHEDULED",IF(H317="Custom","OK",IF(COUNTIF(Schedule!$C$5:$C$1204,A317)=IF(H317="Weekly",4,IF(H317="Fortnightly",2,1)),"OK","CHECK VISITS")))))</x:f>
      </x:c>
      <x:c r="N317" s="100" t="str">
        <x:f>IF(A317="","",IF(COUNTIF($A$5:$A$404,A317)&gt;1,"DUPLICATE CLIENT",IF(B317="Active",IF(OR(F317="",G317="",H317="",J317=""),"COMPLETE CLIENT",IF(COUNTIF(Teams!$A$5:$A$104,J317)=0,"TEAM NOT FOUND","OK")),"OK")))</x:f>
      </x:c>
    </x:row>
    <x:row r="318">
      <x:c r="L318" s="100" t="str">
        <x:f>IF(A318="","",IF(B318&lt;&gt;"Active","NOT REQUIRED",IF(COUNTIF('Client Services'!$A$5:$A$1004,A318)=0,"ADD SERVICES","OK")))</x:f>
      </x:c>
      <x:c r="M318" s="100" t="str">
        <x:f>IF(A318="","",IF(B318&lt;&gt;"Active","NOT REQUIRED",IF(COUNTIF(Schedule!$C$5:$C$1204,A318)=0,"UNSCHEDULED",IF(H318="Custom","OK",IF(COUNTIF(Schedule!$C$5:$C$1204,A318)=IF(H318="Weekly",4,IF(H318="Fortnightly",2,1)),"OK","CHECK VISITS")))))</x:f>
      </x:c>
      <x:c r="N318" s="100" t="str">
        <x:f>IF(A318="","",IF(COUNTIF($A$5:$A$404,A318)&gt;1,"DUPLICATE CLIENT",IF(B318="Active",IF(OR(F318="",G318="",H318="",J318=""),"COMPLETE CLIENT",IF(COUNTIF(Teams!$A$5:$A$104,J318)=0,"TEAM NOT FOUND","OK")),"OK")))</x:f>
      </x:c>
    </x:row>
    <x:row r="319">
      <x:c r="L319" s="100" t="str">
        <x:f>IF(A319="","",IF(B319&lt;&gt;"Active","NOT REQUIRED",IF(COUNTIF('Client Services'!$A$5:$A$1004,A319)=0,"ADD SERVICES","OK")))</x:f>
      </x:c>
      <x:c r="M319" s="100" t="str">
        <x:f>IF(A319="","",IF(B319&lt;&gt;"Active","NOT REQUIRED",IF(COUNTIF(Schedule!$C$5:$C$1204,A319)=0,"UNSCHEDULED",IF(H319="Custom","OK",IF(COUNTIF(Schedule!$C$5:$C$1204,A319)=IF(H319="Weekly",4,IF(H319="Fortnightly",2,1)),"OK","CHECK VISITS")))))</x:f>
      </x:c>
      <x:c r="N319" s="100" t="str">
        <x:f>IF(A319="","",IF(COUNTIF($A$5:$A$404,A319)&gt;1,"DUPLICATE CLIENT",IF(B319="Active",IF(OR(F319="",G319="",H319="",J319=""),"COMPLETE CLIENT",IF(COUNTIF(Teams!$A$5:$A$104,J319)=0,"TEAM NOT FOUND","OK")),"OK")))</x:f>
      </x:c>
    </x:row>
    <x:row r="320">
      <x:c r="L320" s="100" t="str">
        <x:f>IF(A320="","",IF(B320&lt;&gt;"Active","NOT REQUIRED",IF(COUNTIF('Client Services'!$A$5:$A$1004,A320)=0,"ADD SERVICES","OK")))</x:f>
      </x:c>
      <x:c r="M320" s="100" t="str">
        <x:f>IF(A320="","",IF(B320&lt;&gt;"Active","NOT REQUIRED",IF(COUNTIF(Schedule!$C$5:$C$1204,A320)=0,"UNSCHEDULED",IF(H320="Custom","OK",IF(COUNTIF(Schedule!$C$5:$C$1204,A320)=IF(H320="Weekly",4,IF(H320="Fortnightly",2,1)),"OK","CHECK VISITS")))))</x:f>
      </x:c>
      <x:c r="N320" s="100" t="str">
        <x:f>IF(A320="","",IF(COUNTIF($A$5:$A$404,A320)&gt;1,"DUPLICATE CLIENT",IF(B320="Active",IF(OR(F320="",G320="",H320="",J320=""),"COMPLETE CLIENT",IF(COUNTIF(Teams!$A$5:$A$104,J320)=0,"TEAM NOT FOUND","OK")),"OK")))</x:f>
      </x:c>
    </x:row>
    <x:row r="321">
      <x:c r="L321" s="100" t="str">
        <x:f>IF(A321="","",IF(B321&lt;&gt;"Active","NOT REQUIRED",IF(COUNTIF('Client Services'!$A$5:$A$1004,A321)=0,"ADD SERVICES","OK")))</x:f>
      </x:c>
      <x:c r="M321" s="100" t="str">
        <x:f>IF(A321="","",IF(B321&lt;&gt;"Active","NOT REQUIRED",IF(COUNTIF(Schedule!$C$5:$C$1204,A321)=0,"UNSCHEDULED",IF(H321="Custom","OK",IF(COUNTIF(Schedule!$C$5:$C$1204,A321)=IF(H321="Weekly",4,IF(H321="Fortnightly",2,1)),"OK","CHECK VISITS")))))</x:f>
      </x:c>
      <x:c r="N321" s="100" t="str">
        <x:f>IF(A321="","",IF(COUNTIF($A$5:$A$404,A321)&gt;1,"DUPLICATE CLIENT",IF(B321="Active",IF(OR(F321="",G321="",H321="",J321=""),"COMPLETE CLIENT",IF(COUNTIF(Teams!$A$5:$A$104,J321)=0,"TEAM NOT FOUND","OK")),"OK")))</x:f>
      </x:c>
    </x:row>
    <x:row r="322">
      <x:c r="L322" s="100" t="str">
        <x:f>IF(A322="","",IF(B322&lt;&gt;"Active","NOT REQUIRED",IF(COUNTIF('Client Services'!$A$5:$A$1004,A322)=0,"ADD SERVICES","OK")))</x:f>
      </x:c>
      <x:c r="M322" s="100" t="str">
        <x:f>IF(A322="","",IF(B322&lt;&gt;"Active","NOT REQUIRED",IF(COUNTIF(Schedule!$C$5:$C$1204,A322)=0,"UNSCHEDULED",IF(H322="Custom","OK",IF(COUNTIF(Schedule!$C$5:$C$1204,A322)=IF(H322="Weekly",4,IF(H322="Fortnightly",2,1)),"OK","CHECK VISITS")))))</x:f>
      </x:c>
      <x:c r="N322" s="100" t="str">
        <x:f>IF(A322="","",IF(COUNTIF($A$5:$A$404,A322)&gt;1,"DUPLICATE CLIENT",IF(B322="Active",IF(OR(F322="",G322="",H322="",J322=""),"COMPLETE CLIENT",IF(COUNTIF(Teams!$A$5:$A$104,J322)=0,"TEAM NOT FOUND","OK")),"OK")))</x:f>
      </x:c>
    </x:row>
    <x:row r="323">
      <x:c r="L323" s="100" t="str">
        <x:f>IF(A323="","",IF(B323&lt;&gt;"Active","NOT REQUIRED",IF(COUNTIF('Client Services'!$A$5:$A$1004,A323)=0,"ADD SERVICES","OK")))</x:f>
      </x:c>
      <x:c r="M323" s="100" t="str">
        <x:f>IF(A323="","",IF(B323&lt;&gt;"Active","NOT REQUIRED",IF(COUNTIF(Schedule!$C$5:$C$1204,A323)=0,"UNSCHEDULED",IF(H323="Custom","OK",IF(COUNTIF(Schedule!$C$5:$C$1204,A323)=IF(H323="Weekly",4,IF(H323="Fortnightly",2,1)),"OK","CHECK VISITS")))))</x:f>
      </x:c>
      <x:c r="N323" s="100" t="str">
        <x:f>IF(A323="","",IF(COUNTIF($A$5:$A$404,A323)&gt;1,"DUPLICATE CLIENT",IF(B323="Active",IF(OR(F323="",G323="",H323="",J323=""),"COMPLETE CLIENT",IF(COUNTIF(Teams!$A$5:$A$104,J323)=0,"TEAM NOT FOUND","OK")),"OK")))</x:f>
      </x:c>
    </x:row>
    <x:row r="324">
      <x:c r="L324" s="100" t="str">
        <x:f>IF(A324="","",IF(B324&lt;&gt;"Active","NOT REQUIRED",IF(COUNTIF('Client Services'!$A$5:$A$1004,A324)=0,"ADD SERVICES","OK")))</x:f>
      </x:c>
      <x:c r="M324" s="100" t="str">
        <x:f>IF(A324="","",IF(B324&lt;&gt;"Active","NOT REQUIRED",IF(COUNTIF(Schedule!$C$5:$C$1204,A324)=0,"UNSCHEDULED",IF(H324="Custom","OK",IF(COUNTIF(Schedule!$C$5:$C$1204,A324)=IF(H324="Weekly",4,IF(H324="Fortnightly",2,1)),"OK","CHECK VISITS")))))</x:f>
      </x:c>
      <x:c r="N324" s="100" t="str">
        <x:f>IF(A324="","",IF(COUNTIF($A$5:$A$404,A324)&gt;1,"DUPLICATE CLIENT",IF(B324="Active",IF(OR(F324="",G324="",H324="",J324=""),"COMPLETE CLIENT",IF(COUNTIF(Teams!$A$5:$A$104,J324)=0,"TEAM NOT FOUND","OK")),"OK")))</x:f>
      </x:c>
    </x:row>
    <x:row r="325">
      <x:c r="L325" s="100" t="str">
        <x:f>IF(A325="","",IF(B325&lt;&gt;"Active","NOT REQUIRED",IF(COUNTIF('Client Services'!$A$5:$A$1004,A325)=0,"ADD SERVICES","OK")))</x:f>
      </x:c>
      <x:c r="M325" s="100" t="str">
        <x:f>IF(A325="","",IF(B325&lt;&gt;"Active","NOT REQUIRED",IF(COUNTIF(Schedule!$C$5:$C$1204,A325)=0,"UNSCHEDULED",IF(H325="Custom","OK",IF(COUNTIF(Schedule!$C$5:$C$1204,A325)=IF(H325="Weekly",4,IF(H325="Fortnightly",2,1)),"OK","CHECK VISITS")))))</x:f>
      </x:c>
      <x:c r="N325" s="100" t="str">
        <x:f>IF(A325="","",IF(COUNTIF($A$5:$A$404,A325)&gt;1,"DUPLICATE CLIENT",IF(B325="Active",IF(OR(F325="",G325="",H325="",J325=""),"COMPLETE CLIENT",IF(COUNTIF(Teams!$A$5:$A$104,J325)=0,"TEAM NOT FOUND","OK")),"OK")))</x:f>
      </x:c>
    </x:row>
    <x:row r="326">
      <x:c r="L326" s="100" t="str">
        <x:f>IF(A326="","",IF(B326&lt;&gt;"Active","NOT REQUIRED",IF(COUNTIF('Client Services'!$A$5:$A$1004,A326)=0,"ADD SERVICES","OK")))</x:f>
      </x:c>
      <x:c r="M326" s="100" t="str">
        <x:f>IF(A326="","",IF(B326&lt;&gt;"Active","NOT REQUIRED",IF(COUNTIF(Schedule!$C$5:$C$1204,A326)=0,"UNSCHEDULED",IF(H326="Custom","OK",IF(COUNTIF(Schedule!$C$5:$C$1204,A326)=IF(H326="Weekly",4,IF(H326="Fortnightly",2,1)),"OK","CHECK VISITS")))))</x:f>
      </x:c>
      <x:c r="N326" s="100" t="str">
        <x:f>IF(A326="","",IF(COUNTIF($A$5:$A$404,A326)&gt;1,"DUPLICATE CLIENT",IF(B326="Active",IF(OR(F326="",G326="",H326="",J326=""),"COMPLETE CLIENT",IF(COUNTIF(Teams!$A$5:$A$104,J326)=0,"TEAM NOT FOUND","OK")),"OK")))</x:f>
      </x:c>
    </x:row>
    <x:row r="327">
      <x:c r="L327" s="100" t="str">
        <x:f>IF(A327="","",IF(B327&lt;&gt;"Active","NOT REQUIRED",IF(COUNTIF('Client Services'!$A$5:$A$1004,A327)=0,"ADD SERVICES","OK")))</x:f>
      </x:c>
      <x:c r="M327" s="100" t="str">
        <x:f>IF(A327="","",IF(B327&lt;&gt;"Active","NOT REQUIRED",IF(COUNTIF(Schedule!$C$5:$C$1204,A327)=0,"UNSCHEDULED",IF(H327="Custom","OK",IF(COUNTIF(Schedule!$C$5:$C$1204,A327)=IF(H327="Weekly",4,IF(H327="Fortnightly",2,1)),"OK","CHECK VISITS")))))</x:f>
      </x:c>
      <x:c r="N327" s="100" t="str">
        <x:f>IF(A327="","",IF(COUNTIF($A$5:$A$404,A327)&gt;1,"DUPLICATE CLIENT",IF(B327="Active",IF(OR(F327="",G327="",H327="",J327=""),"COMPLETE CLIENT",IF(COUNTIF(Teams!$A$5:$A$104,J327)=0,"TEAM NOT FOUND","OK")),"OK")))</x:f>
      </x:c>
    </x:row>
    <x:row r="328">
      <x:c r="L328" s="100" t="str">
        <x:f>IF(A328="","",IF(B328&lt;&gt;"Active","NOT REQUIRED",IF(COUNTIF('Client Services'!$A$5:$A$1004,A328)=0,"ADD SERVICES","OK")))</x:f>
      </x:c>
      <x:c r="M328" s="100" t="str">
        <x:f>IF(A328="","",IF(B328&lt;&gt;"Active","NOT REQUIRED",IF(COUNTIF(Schedule!$C$5:$C$1204,A328)=0,"UNSCHEDULED",IF(H328="Custom","OK",IF(COUNTIF(Schedule!$C$5:$C$1204,A328)=IF(H328="Weekly",4,IF(H328="Fortnightly",2,1)),"OK","CHECK VISITS")))))</x:f>
      </x:c>
      <x:c r="N328" s="100" t="str">
        <x:f>IF(A328="","",IF(COUNTIF($A$5:$A$404,A328)&gt;1,"DUPLICATE CLIENT",IF(B328="Active",IF(OR(F328="",G328="",H328="",J328=""),"COMPLETE CLIENT",IF(COUNTIF(Teams!$A$5:$A$104,J328)=0,"TEAM NOT FOUND","OK")),"OK")))</x:f>
      </x:c>
    </x:row>
    <x:row r="329">
      <x:c r="L329" s="100" t="str">
        <x:f>IF(A329="","",IF(B329&lt;&gt;"Active","NOT REQUIRED",IF(COUNTIF('Client Services'!$A$5:$A$1004,A329)=0,"ADD SERVICES","OK")))</x:f>
      </x:c>
      <x:c r="M329" s="100" t="str">
        <x:f>IF(A329="","",IF(B329&lt;&gt;"Active","NOT REQUIRED",IF(COUNTIF(Schedule!$C$5:$C$1204,A329)=0,"UNSCHEDULED",IF(H329="Custom","OK",IF(COUNTIF(Schedule!$C$5:$C$1204,A329)=IF(H329="Weekly",4,IF(H329="Fortnightly",2,1)),"OK","CHECK VISITS")))))</x:f>
      </x:c>
      <x:c r="N329" s="100" t="str">
        <x:f>IF(A329="","",IF(COUNTIF($A$5:$A$404,A329)&gt;1,"DUPLICATE CLIENT",IF(B329="Active",IF(OR(F329="",G329="",H329="",J329=""),"COMPLETE CLIENT",IF(COUNTIF(Teams!$A$5:$A$104,J329)=0,"TEAM NOT FOUND","OK")),"OK")))</x:f>
      </x:c>
    </x:row>
    <x:row r="330">
      <x:c r="L330" s="100" t="str">
        <x:f>IF(A330="","",IF(B330&lt;&gt;"Active","NOT REQUIRED",IF(COUNTIF('Client Services'!$A$5:$A$1004,A330)=0,"ADD SERVICES","OK")))</x:f>
      </x:c>
      <x:c r="M330" s="100" t="str">
        <x:f>IF(A330="","",IF(B330&lt;&gt;"Active","NOT REQUIRED",IF(COUNTIF(Schedule!$C$5:$C$1204,A330)=0,"UNSCHEDULED",IF(H330="Custom","OK",IF(COUNTIF(Schedule!$C$5:$C$1204,A330)=IF(H330="Weekly",4,IF(H330="Fortnightly",2,1)),"OK","CHECK VISITS")))))</x:f>
      </x:c>
      <x:c r="N330" s="100" t="str">
        <x:f>IF(A330="","",IF(COUNTIF($A$5:$A$404,A330)&gt;1,"DUPLICATE CLIENT",IF(B330="Active",IF(OR(F330="",G330="",H330="",J330=""),"COMPLETE CLIENT",IF(COUNTIF(Teams!$A$5:$A$104,J330)=0,"TEAM NOT FOUND","OK")),"OK")))</x:f>
      </x:c>
    </x:row>
    <x:row r="331">
      <x:c r="L331" s="100" t="str">
        <x:f>IF(A331="","",IF(B331&lt;&gt;"Active","NOT REQUIRED",IF(COUNTIF('Client Services'!$A$5:$A$1004,A331)=0,"ADD SERVICES","OK")))</x:f>
      </x:c>
      <x:c r="M331" s="100" t="str">
        <x:f>IF(A331="","",IF(B331&lt;&gt;"Active","NOT REQUIRED",IF(COUNTIF(Schedule!$C$5:$C$1204,A331)=0,"UNSCHEDULED",IF(H331="Custom","OK",IF(COUNTIF(Schedule!$C$5:$C$1204,A331)=IF(H331="Weekly",4,IF(H331="Fortnightly",2,1)),"OK","CHECK VISITS")))))</x:f>
      </x:c>
      <x:c r="N331" s="100" t="str">
        <x:f>IF(A331="","",IF(COUNTIF($A$5:$A$404,A331)&gt;1,"DUPLICATE CLIENT",IF(B331="Active",IF(OR(F331="",G331="",H331="",J331=""),"COMPLETE CLIENT",IF(COUNTIF(Teams!$A$5:$A$104,J331)=0,"TEAM NOT FOUND","OK")),"OK")))</x:f>
      </x:c>
    </x:row>
    <x:row r="332">
      <x:c r="L332" s="100" t="str">
        <x:f>IF(A332="","",IF(B332&lt;&gt;"Active","NOT REQUIRED",IF(COUNTIF('Client Services'!$A$5:$A$1004,A332)=0,"ADD SERVICES","OK")))</x:f>
      </x:c>
      <x:c r="M332" s="100" t="str">
        <x:f>IF(A332="","",IF(B332&lt;&gt;"Active","NOT REQUIRED",IF(COUNTIF(Schedule!$C$5:$C$1204,A332)=0,"UNSCHEDULED",IF(H332="Custom","OK",IF(COUNTIF(Schedule!$C$5:$C$1204,A332)=IF(H332="Weekly",4,IF(H332="Fortnightly",2,1)),"OK","CHECK VISITS")))))</x:f>
      </x:c>
      <x:c r="N332" s="100" t="str">
        <x:f>IF(A332="","",IF(COUNTIF($A$5:$A$404,A332)&gt;1,"DUPLICATE CLIENT",IF(B332="Active",IF(OR(F332="",G332="",H332="",J332=""),"COMPLETE CLIENT",IF(COUNTIF(Teams!$A$5:$A$104,J332)=0,"TEAM NOT FOUND","OK")),"OK")))</x:f>
      </x:c>
    </x:row>
    <x:row r="333">
      <x:c r="L333" s="100" t="str">
        <x:f>IF(A333="","",IF(B333&lt;&gt;"Active","NOT REQUIRED",IF(COUNTIF('Client Services'!$A$5:$A$1004,A333)=0,"ADD SERVICES","OK")))</x:f>
      </x:c>
      <x:c r="M333" s="100" t="str">
        <x:f>IF(A333="","",IF(B333&lt;&gt;"Active","NOT REQUIRED",IF(COUNTIF(Schedule!$C$5:$C$1204,A333)=0,"UNSCHEDULED",IF(H333="Custom","OK",IF(COUNTIF(Schedule!$C$5:$C$1204,A333)=IF(H333="Weekly",4,IF(H333="Fortnightly",2,1)),"OK","CHECK VISITS")))))</x:f>
      </x:c>
      <x:c r="N333" s="100" t="str">
        <x:f>IF(A333="","",IF(COUNTIF($A$5:$A$404,A333)&gt;1,"DUPLICATE CLIENT",IF(B333="Active",IF(OR(F333="",G333="",H333="",J333=""),"COMPLETE CLIENT",IF(COUNTIF(Teams!$A$5:$A$104,J333)=0,"TEAM NOT FOUND","OK")),"OK")))</x:f>
      </x:c>
    </x:row>
    <x:row r="334">
      <x:c r="L334" s="100" t="str">
        <x:f>IF(A334="","",IF(B334&lt;&gt;"Active","NOT REQUIRED",IF(COUNTIF('Client Services'!$A$5:$A$1004,A334)=0,"ADD SERVICES","OK")))</x:f>
      </x:c>
      <x:c r="M334" s="100" t="str">
        <x:f>IF(A334="","",IF(B334&lt;&gt;"Active","NOT REQUIRED",IF(COUNTIF(Schedule!$C$5:$C$1204,A334)=0,"UNSCHEDULED",IF(H334="Custom","OK",IF(COUNTIF(Schedule!$C$5:$C$1204,A334)=IF(H334="Weekly",4,IF(H334="Fortnightly",2,1)),"OK","CHECK VISITS")))))</x:f>
      </x:c>
      <x:c r="N334" s="100" t="str">
        <x:f>IF(A334="","",IF(COUNTIF($A$5:$A$404,A334)&gt;1,"DUPLICATE CLIENT",IF(B334="Active",IF(OR(F334="",G334="",H334="",J334=""),"COMPLETE CLIENT",IF(COUNTIF(Teams!$A$5:$A$104,J334)=0,"TEAM NOT FOUND","OK")),"OK")))</x:f>
      </x:c>
    </x:row>
    <x:row r="335">
      <x:c r="L335" s="100" t="str">
        <x:f>IF(A335="","",IF(B335&lt;&gt;"Active","NOT REQUIRED",IF(COUNTIF('Client Services'!$A$5:$A$1004,A335)=0,"ADD SERVICES","OK")))</x:f>
      </x:c>
      <x:c r="M335" s="100" t="str">
        <x:f>IF(A335="","",IF(B335&lt;&gt;"Active","NOT REQUIRED",IF(COUNTIF(Schedule!$C$5:$C$1204,A335)=0,"UNSCHEDULED",IF(H335="Custom","OK",IF(COUNTIF(Schedule!$C$5:$C$1204,A335)=IF(H335="Weekly",4,IF(H335="Fortnightly",2,1)),"OK","CHECK VISITS")))))</x:f>
      </x:c>
      <x:c r="N335" s="100" t="str">
        <x:f>IF(A335="","",IF(COUNTIF($A$5:$A$404,A335)&gt;1,"DUPLICATE CLIENT",IF(B335="Active",IF(OR(F335="",G335="",H335="",J335=""),"COMPLETE CLIENT",IF(COUNTIF(Teams!$A$5:$A$104,J335)=0,"TEAM NOT FOUND","OK")),"OK")))</x:f>
      </x:c>
    </x:row>
    <x:row r="336">
      <x:c r="L336" s="100" t="str">
        <x:f>IF(A336="","",IF(B336&lt;&gt;"Active","NOT REQUIRED",IF(COUNTIF('Client Services'!$A$5:$A$1004,A336)=0,"ADD SERVICES","OK")))</x:f>
      </x:c>
      <x:c r="M336" s="100" t="str">
        <x:f>IF(A336="","",IF(B336&lt;&gt;"Active","NOT REQUIRED",IF(COUNTIF(Schedule!$C$5:$C$1204,A336)=0,"UNSCHEDULED",IF(H336="Custom","OK",IF(COUNTIF(Schedule!$C$5:$C$1204,A336)=IF(H336="Weekly",4,IF(H336="Fortnightly",2,1)),"OK","CHECK VISITS")))))</x:f>
      </x:c>
      <x:c r="N336" s="100" t="str">
        <x:f>IF(A336="","",IF(COUNTIF($A$5:$A$404,A336)&gt;1,"DUPLICATE CLIENT",IF(B336="Active",IF(OR(F336="",G336="",H336="",J336=""),"COMPLETE CLIENT",IF(COUNTIF(Teams!$A$5:$A$104,J336)=0,"TEAM NOT FOUND","OK")),"OK")))</x:f>
      </x:c>
    </x:row>
    <x:row r="337">
      <x:c r="L337" s="100" t="str">
        <x:f>IF(A337="","",IF(B337&lt;&gt;"Active","NOT REQUIRED",IF(COUNTIF('Client Services'!$A$5:$A$1004,A337)=0,"ADD SERVICES","OK")))</x:f>
      </x:c>
      <x:c r="M337" s="100" t="str">
        <x:f>IF(A337="","",IF(B337&lt;&gt;"Active","NOT REQUIRED",IF(COUNTIF(Schedule!$C$5:$C$1204,A337)=0,"UNSCHEDULED",IF(H337="Custom","OK",IF(COUNTIF(Schedule!$C$5:$C$1204,A337)=IF(H337="Weekly",4,IF(H337="Fortnightly",2,1)),"OK","CHECK VISITS")))))</x:f>
      </x:c>
      <x:c r="N337" s="100" t="str">
        <x:f>IF(A337="","",IF(COUNTIF($A$5:$A$404,A337)&gt;1,"DUPLICATE CLIENT",IF(B337="Active",IF(OR(F337="",G337="",H337="",J337=""),"COMPLETE CLIENT",IF(COUNTIF(Teams!$A$5:$A$104,J337)=0,"TEAM NOT FOUND","OK")),"OK")))</x:f>
      </x:c>
    </x:row>
    <x:row r="338">
      <x:c r="L338" s="100" t="str">
        <x:f>IF(A338="","",IF(B338&lt;&gt;"Active","NOT REQUIRED",IF(COUNTIF('Client Services'!$A$5:$A$1004,A338)=0,"ADD SERVICES","OK")))</x:f>
      </x:c>
      <x:c r="M338" s="100" t="str">
        <x:f>IF(A338="","",IF(B338&lt;&gt;"Active","NOT REQUIRED",IF(COUNTIF(Schedule!$C$5:$C$1204,A338)=0,"UNSCHEDULED",IF(H338="Custom","OK",IF(COUNTIF(Schedule!$C$5:$C$1204,A338)=IF(H338="Weekly",4,IF(H338="Fortnightly",2,1)),"OK","CHECK VISITS")))))</x:f>
      </x:c>
      <x:c r="N338" s="100" t="str">
        <x:f>IF(A338="","",IF(COUNTIF($A$5:$A$404,A338)&gt;1,"DUPLICATE CLIENT",IF(B338="Active",IF(OR(F338="",G338="",H338="",J338=""),"COMPLETE CLIENT",IF(COUNTIF(Teams!$A$5:$A$104,J338)=0,"TEAM NOT FOUND","OK")),"OK")))</x:f>
      </x:c>
    </x:row>
    <x:row r="339">
      <x:c r="L339" s="100" t="str">
        <x:f>IF(A339="","",IF(B339&lt;&gt;"Active","NOT REQUIRED",IF(COUNTIF('Client Services'!$A$5:$A$1004,A339)=0,"ADD SERVICES","OK")))</x:f>
      </x:c>
      <x:c r="M339" s="100" t="str">
        <x:f>IF(A339="","",IF(B339&lt;&gt;"Active","NOT REQUIRED",IF(COUNTIF(Schedule!$C$5:$C$1204,A339)=0,"UNSCHEDULED",IF(H339="Custom","OK",IF(COUNTIF(Schedule!$C$5:$C$1204,A339)=IF(H339="Weekly",4,IF(H339="Fortnightly",2,1)),"OK","CHECK VISITS")))))</x:f>
      </x:c>
      <x:c r="N339" s="100" t="str">
        <x:f>IF(A339="","",IF(COUNTIF($A$5:$A$404,A339)&gt;1,"DUPLICATE CLIENT",IF(B339="Active",IF(OR(F339="",G339="",H339="",J339=""),"COMPLETE CLIENT",IF(COUNTIF(Teams!$A$5:$A$104,J339)=0,"TEAM NOT FOUND","OK")),"OK")))</x:f>
      </x:c>
    </x:row>
    <x:row r="340">
      <x:c r="L340" s="100" t="str">
        <x:f>IF(A340="","",IF(B340&lt;&gt;"Active","NOT REQUIRED",IF(COUNTIF('Client Services'!$A$5:$A$1004,A340)=0,"ADD SERVICES","OK")))</x:f>
      </x:c>
      <x:c r="M340" s="100" t="str">
        <x:f>IF(A340="","",IF(B340&lt;&gt;"Active","NOT REQUIRED",IF(COUNTIF(Schedule!$C$5:$C$1204,A340)=0,"UNSCHEDULED",IF(H340="Custom","OK",IF(COUNTIF(Schedule!$C$5:$C$1204,A340)=IF(H340="Weekly",4,IF(H340="Fortnightly",2,1)),"OK","CHECK VISITS")))))</x:f>
      </x:c>
      <x:c r="N340" s="100" t="str">
        <x:f>IF(A340="","",IF(COUNTIF($A$5:$A$404,A340)&gt;1,"DUPLICATE CLIENT",IF(B340="Active",IF(OR(F340="",G340="",H340="",J340=""),"COMPLETE CLIENT",IF(COUNTIF(Teams!$A$5:$A$104,J340)=0,"TEAM NOT FOUND","OK")),"OK")))</x:f>
      </x:c>
    </x:row>
    <x:row r="341">
      <x:c r="L341" s="100" t="str">
        <x:f>IF(A341="","",IF(B341&lt;&gt;"Active","NOT REQUIRED",IF(COUNTIF('Client Services'!$A$5:$A$1004,A341)=0,"ADD SERVICES","OK")))</x:f>
      </x:c>
      <x:c r="M341" s="100" t="str">
        <x:f>IF(A341="","",IF(B341&lt;&gt;"Active","NOT REQUIRED",IF(COUNTIF(Schedule!$C$5:$C$1204,A341)=0,"UNSCHEDULED",IF(H341="Custom","OK",IF(COUNTIF(Schedule!$C$5:$C$1204,A341)=IF(H341="Weekly",4,IF(H341="Fortnightly",2,1)),"OK","CHECK VISITS")))))</x:f>
      </x:c>
      <x:c r="N341" s="100" t="str">
        <x:f>IF(A341="","",IF(COUNTIF($A$5:$A$404,A341)&gt;1,"DUPLICATE CLIENT",IF(B341="Active",IF(OR(F341="",G341="",H341="",J341=""),"COMPLETE CLIENT",IF(COUNTIF(Teams!$A$5:$A$104,J341)=0,"TEAM NOT FOUND","OK")),"OK")))</x:f>
      </x:c>
    </x:row>
    <x:row r="342">
      <x:c r="L342" s="100" t="str">
        <x:f>IF(A342="","",IF(B342&lt;&gt;"Active","NOT REQUIRED",IF(COUNTIF('Client Services'!$A$5:$A$1004,A342)=0,"ADD SERVICES","OK")))</x:f>
      </x:c>
      <x:c r="M342" s="100" t="str">
        <x:f>IF(A342="","",IF(B342&lt;&gt;"Active","NOT REQUIRED",IF(COUNTIF(Schedule!$C$5:$C$1204,A342)=0,"UNSCHEDULED",IF(H342="Custom","OK",IF(COUNTIF(Schedule!$C$5:$C$1204,A342)=IF(H342="Weekly",4,IF(H342="Fortnightly",2,1)),"OK","CHECK VISITS")))))</x:f>
      </x:c>
      <x:c r="N342" s="100" t="str">
        <x:f>IF(A342="","",IF(COUNTIF($A$5:$A$404,A342)&gt;1,"DUPLICATE CLIENT",IF(B342="Active",IF(OR(F342="",G342="",H342="",J342=""),"COMPLETE CLIENT",IF(COUNTIF(Teams!$A$5:$A$104,J342)=0,"TEAM NOT FOUND","OK")),"OK")))</x:f>
      </x:c>
    </x:row>
    <x:row r="343">
      <x:c r="L343" s="100" t="str">
        <x:f>IF(A343="","",IF(B343&lt;&gt;"Active","NOT REQUIRED",IF(COUNTIF('Client Services'!$A$5:$A$1004,A343)=0,"ADD SERVICES","OK")))</x:f>
      </x:c>
      <x:c r="M343" s="100" t="str">
        <x:f>IF(A343="","",IF(B343&lt;&gt;"Active","NOT REQUIRED",IF(COUNTIF(Schedule!$C$5:$C$1204,A343)=0,"UNSCHEDULED",IF(H343="Custom","OK",IF(COUNTIF(Schedule!$C$5:$C$1204,A343)=IF(H343="Weekly",4,IF(H343="Fortnightly",2,1)),"OK","CHECK VISITS")))))</x:f>
      </x:c>
      <x:c r="N343" s="100" t="str">
        <x:f>IF(A343="","",IF(COUNTIF($A$5:$A$404,A343)&gt;1,"DUPLICATE CLIENT",IF(B343="Active",IF(OR(F343="",G343="",H343="",J343=""),"COMPLETE CLIENT",IF(COUNTIF(Teams!$A$5:$A$104,J343)=0,"TEAM NOT FOUND","OK")),"OK")))</x:f>
      </x:c>
    </x:row>
    <x:row r="344">
      <x:c r="L344" s="100" t="str">
        <x:f>IF(A344="","",IF(B344&lt;&gt;"Active","NOT REQUIRED",IF(COUNTIF('Client Services'!$A$5:$A$1004,A344)=0,"ADD SERVICES","OK")))</x:f>
      </x:c>
      <x:c r="M344" s="100" t="str">
        <x:f>IF(A344="","",IF(B344&lt;&gt;"Active","NOT REQUIRED",IF(COUNTIF(Schedule!$C$5:$C$1204,A344)=0,"UNSCHEDULED",IF(H344="Custom","OK",IF(COUNTIF(Schedule!$C$5:$C$1204,A344)=IF(H344="Weekly",4,IF(H344="Fortnightly",2,1)),"OK","CHECK VISITS")))))</x:f>
      </x:c>
      <x:c r="N344" s="100" t="str">
        <x:f>IF(A344="","",IF(COUNTIF($A$5:$A$404,A344)&gt;1,"DUPLICATE CLIENT",IF(B344="Active",IF(OR(F344="",G344="",H344="",J344=""),"COMPLETE CLIENT",IF(COUNTIF(Teams!$A$5:$A$104,J344)=0,"TEAM NOT FOUND","OK")),"OK")))</x:f>
      </x:c>
    </x:row>
    <x:row r="345">
      <x:c r="L345" s="100" t="str">
        <x:f>IF(A345="","",IF(B345&lt;&gt;"Active","NOT REQUIRED",IF(COUNTIF('Client Services'!$A$5:$A$1004,A345)=0,"ADD SERVICES","OK")))</x:f>
      </x:c>
      <x:c r="M345" s="100" t="str">
        <x:f>IF(A345="","",IF(B345&lt;&gt;"Active","NOT REQUIRED",IF(COUNTIF(Schedule!$C$5:$C$1204,A345)=0,"UNSCHEDULED",IF(H345="Custom","OK",IF(COUNTIF(Schedule!$C$5:$C$1204,A345)=IF(H345="Weekly",4,IF(H345="Fortnightly",2,1)),"OK","CHECK VISITS")))))</x:f>
      </x:c>
      <x:c r="N345" s="100" t="str">
        <x:f>IF(A345="","",IF(COUNTIF($A$5:$A$404,A345)&gt;1,"DUPLICATE CLIENT",IF(B345="Active",IF(OR(F345="",G345="",H345="",J345=""),"COMPLETE CLIENT",IF(COUNTIF(Teams!$A$5:$A$104,J345)=0,"TEAM NOT FOUND","OK")),"OK")))</x:f>
      </x:c>
    </x:row>
    <x:row r="346">
      <x:c r="L346" s="100" t="str">
        <x:f>IF(A346="","",IF(B346&lt;&gt;"Active","NOT REQUIRED",IF(COUNTIF('Client Services'!$A$5:$A$1004,A346)=0,"ADD SERVICES","OK")))</x:f>
      </x:c>
      <x:c r="M346" s="100" t="str">
        <x:f>IF(A346="","",IF(B346&lt;&gt;"Active","NOT REQUIRED",IF(COUNTIF(Schedule!$C$5:$C$1204,A346)=0,"UNSCHEDULED",IF(H346="Custom","OK",IF(COUNTIF(Schedule!$C$5:$C$1204,A346)=IF(H346="Weekly",4,IF(H346="Fortnightly",2,1)),"OK","CHECK VISITS")))))</x:f>
      </x:c>
      <x:c r="N346" s="100" t="str">
        <x:f>IF(A346="","",IF(COUNTIF($A$5:$A$404,A346)&gt;1,"DUPLICATE CLIENT",IF(B346="Active",IF(OR(F346="",G346="",H346="",J346=""),"COMPLETE CLIENT",IF(COUNTIF(Teams!$A$5:$A$104,J346)=0,"TEAM NOT FOUND","OK")),"OK")))</x:f>
      </x:c>
    </x:row>
    <x:row r="347">
      <x:c r="L347" s="100" t="str">
        <x:f>IF(A347="","",IF(B347&lt;&gt;"Active","NOT REQUIRED",IF(COUNTIF('Client Services'!$A$5:$A$1004,A347)=0,"ADD SERVICES","OK")))</x:f>
      </x:c>
      <x:c r="M347" s="100" t="str">
        <x:f>IF(A347="","",IF(B347&lt;&gt;"Active","NOT REQUIRED",IF(COUNTIF(Schedule!$C$5:$C$1204,A347)=0,"UNSCHEDULED",IF(H347="Custom","OK",IF(COUNTIF(Schedule!$C$5:$C$1204,A347)=IF(H347="Weekly",4,IF(H347="Fortnightly",2,1)),"OK","CHECK VISITS")))))</x:f>
      </x:c>
      <x:c r="N347" s="100" t="str">
        <x:f>IF(A347="","",IF(COUNTIF($A$5:$A$404,A347)&gt;1,"DUPLICATE CLIENT",IF(B347="Active",IF(OR(F347="",G347="",H347="",J347=""),"COMPLETE CLIENT",IF(COUNTIF(Teams!$A$5:$A$104,J347)=0,"TEAM NOT FOUND","OK")),"OK")))</x:f>
      </x:c>
    </x:row>
    <x:row r="348">
      <x:c r="L348" s="100" t="str">
        <x:f>IF(A348="","",IF(B348&lt;&gt;"Active","NOT REQUIRED",IF(COUNTIF('Client Services'!$A$5:$A$1004,A348)=0,"ADD SERVICES","OK")))</x:f>
      </x:c>
      <x:c r="M348" s="100" t="str">
        <x:f>IF(A348="","",IF(B348&lt;&gt;"Active","NOT REQUIRED",IF(COUNTIF(Schedule!$C$5:$C$1204,A348)=0,"UNSCHEDULED",IF(H348="Custom","OK",IF(COUNTIF(Schedule!$C$5:$C$1204,A348)=IF(H348="Weekly",4,IF(H348="Fortnightly",2,1)),"OK","CHECK VISITS")))))</x:f>
      </x:c>
      <x:c r="N348" s="100" t="str">
        <x:f>IF(A348="","",IF(COUNTIF($A$5:$A$404,A348)&gt;1,"DUPLICATE CLIENT",IF(B348="Active",IF(OR(F348="",G348="",H348="",J348=""),"COMPLETE CLIENT",IF(COUNTIF(Teams!$A$5:$A$104,J348)=0,"TEAM NOT FOUND","OK")),"OK")))</x:f>
      </x:c>
    </x:row>
    <x:row r="349">
      <x:c r="L349" s="100" t="str">
        <x:f>IF(A349="","",IF(B349&lt;&gt;"Active","NOT REQUIRED",IF(COUNTIF('Client Services'!$A$5:$A$1004,A349)=0,"ADD SERVICES","OK")))</x:f>
      </x:c>
      <x:c r="M349" s="100" t="str">
        <x:f>IF(A349="","",IF(B349&lt;&gt;"Active","NOT REQUIRED",IF(COUNTIF(Schedule!$C$5:$C$1204,A349)=0,"UNSCHEDULED",IF(H349="Custom","OK",IF(COUNTIF(Schedule!$C$5:$C$1204,A349)=IF(H349="Weekly",4,IF(H349="Fortnightly",2,1)),"OK","CHECK VISITS")))))</x:f>
      </x:c>
      <x:c r="N349" s="100" t="str">
        <x:f>IF(A349="","",IF(COUNTIF($A$5:$A$404,A349)&gt;1,"DUPLICATE CLIENT",IF(B349="Active",IF(OR(F349="",G349="",H349="",J349=""),"COMPLETE CLIENT",IF(COUNTIF(Teams!$A$5:$A$104,J349)=0,"TEAM NOT FOUND","OK")),"OK")))</x:f>
      </x:c>
    </x:row>
    <x:row r="350">
      <x:c r="L350" s="100" t="str">
        <x:f>IF(A350="","",IF(B350&lt;&gt;"Active","NOT REQUIRED",IF(COUNTIF('Client Services'!$A$5:$A$1004,A350)=0,"ADD SERVICES","OK")))</x:f>
      </x:c>
      <x:c r="M350" s="100" t="str">
        <x:f>IF(A350="","",IF(B350&lt;&gt;"Active","NOT REQUIRED",IF(COUNTIF(Schedule!$C$5:$C$1204,A350)=0,"UNSCHEDULED",IF(H350="Custom","OK",IF(COUNTIF(Schedule!$C$5:$C$1204,A350)=IF(H350="Weekly",4,IF(H350="Fortnightly",2,1)),"OK","CHECK VISITS")))))</x:f>
      </x:c>
      <x:c r="N350" s="100" t="str">
        <x:f>IF(A350="","",IF(COUNTIF($A$5:$A$404,A350)&gt;1,"DUPLICATE CLIENT",IF(B350="Active",IF(OR(F350="",G350="",H350="",J350=""),"COMPLETE CLIENT",IF(COUNTIF(Teams!$A$5:$A$104,J350)=0,"TEAM NOT FOUND","OK")),"OK")))</x:f>
      </x:c>
    </x:row>
    <x:row r="351">
      <x:c r="L351" s="100" t="str">
        <x:f>IF(A351="","",IF(B351&lt;&gt;"Active","NOT REQUIRED",IF(COUNTIF('Client Services'!$A$5:$A$1004,A351)=0,"ADD SERVICES","OK")))</x:f>
      </x:c>
      <x:c r="M351" s="100" t="str">
        <x:f>IF(A351="","",IF(B351&lt;&gt;"Active","NOT REQUIRED",IF(COUNTIF(Schedule!$C$5:$C$1204,A351)=0,"UNSCHEDULED",IF(H351="Custom","OK",IF(COUNTIF(Schedule!$C$5:$C$1204,A351)=IF(H351="Weekly",4,IF(H351="Fortnightly",2,1)),"OK","CHECK VISITS")))))</x:f>
      </x:c>
      <x:c r="N351" s="100" t="str">
        <x:f>IF(A351="","",IF(COUNTIF($A$5:$A$404,A351)&gt;1,"DUPLICATE CLIENT",IF(B351="Active",IF(OR(F351="",G351="",H351="",J351=""),"COMPLETE CLIENT",IF(COUNTIF(Teams!$A$5:$A$104,J351)=0,"TEAM NOT FOUND","OK")),"OK")))</x:f>
      </x:c>
    </x:row>
    <x:row r="352">
      <x:c r="L352" s="100" t="str">
        <x:f>IF(A352="","",IF(B352&lt;&gt;"Active","NOT REQUIRED",IF(COUNTIF('Client Services'!$A$5:$A$1004,A352)=0,"ADD SERVICES","OK")))</x:f>
      </x:c>
      <x:c r="M352" s="100" t="str">
        <x:f>IF(A352="","",IF(B352&lt;&gt;"Active","NOT REQUIRED",IF(COUNTIF(Schedule!$C$5:$C$1204,A352)=0,"UNSCHEDULED",IF(H352="Custom","OK",IF(COUNTIF(Schedule!$C$5:$C$1204,A352)=IF(H352="Weekly",4,IF(H352="Fortnightly",2,1)),"OK","CHECK VISITS")))))</x:f>
      </x:c>
      <x:c r="N352" s="100" t="str">
        <x:f>IF(A352="","",IF(COUNTIF($A$5:$A$404,A352)&gt;1,"DUPLICATE CLIENT",IF(B352="Active",IF(OR(F352="",G352="",H352="",J352=""),"COMPLETE CLIENT",IF(COUNTIF(Teams!$A$5:$A$104,J352)=0,"TEAM NOT FOUND","OK")),"OK")))</x:f>
      </x:c>
    </x:row>
    <x:row r="353">
      <x:c r="L353" s="100" t="str">
        <x:f>IF(A353="","",IF(B353&lt;&gt;"Active","NOT REQUIRED",IF(COUNTIF('Client Services'!$A$5:$A$1004,A353)=0,"ADD SERVICES","OK")))</x:f>
      </x:c>
      <x:c r="M353" s="100" t="str">
        <x:f>IF(A353="","",IF(B353&lt;&gt;"Active","NOT REQUIRED",IF(COUNTIF(Schedule!$C$5:$C$1204,A353)=0,"UNSCHEDULED",IF(H353="Custom","OK",IF(COUNTIF(Schedule!$C$5:$C$1204,A353)=IF(H353="Weekly",4,IF(H353="Fortnightly",2,1)),"OK","CHECK VISITS")))))</x:f>
      </x:c>
      <x:c r="N353" s="100" t="str">
        <x:f>IF(A353="","",IF(COUNTIF($A$5:$A$404,A353)&gt;1,"DUPLICATE CLIENT",IF(B353="Active",IF(OR(F353="",G353="",H353="",J353=""),"COMPLETE CLIENT",IF(COUNTIF(Teams!$A$5:$A$104,J353)=0,"TEAM NOT FOUND","OK")),"OK")))</x:f>
      </x:c>
    </x:row>
    <x:row r="354">
      <x:c r="L354" s="100" t="str">
        <x:f>IF(A354="","",IF(B354&lt;&gt;"Active","NOT REQUIRED",IF(COUNTIF('Client Services'!$A$5:$A$1004,A354)=0,"ADD SERVICES","OK")))</x:f>
      </x:c>
      <x:c r="M354" s="100" t="str">
        <x:f>IF(A354="","",IF(B354&lt;&gt;"Active","NOT REQUIRED",IF(COUNTIF(Schedule!$C$5:$C$1204,A354)=0,"UNSCHEDULED",IF(H354="Custom","OK",IF(COUNTIF(Schedule!$C$5:$C$1204,A354)=IF(H354="Weekly",4,IF(H354="Fortnightly",2,1)),"OK","CHECK VISITS")))))</x:f>
      </x:c>
      <x:c r="N354" s="100" t="str">
        <x:f>IF(A354="","",IF(COUNTIF($A$5:$A$404,A354)&gt;1,"DUPLICATE CLIENT",IF(B354="Active",IF(OR(F354="",G354="",H354="",J354=""),"COMPLETE CLIENT",IF(COUNTIF(Teams!$A$5:$A$104,J354)=0,"TEAM NOT FOUND","OK")),"OK")))</x:f>
      </x:c>
    </x:row>
    <x:row r="355">
      <x:c r="L355" s="100" t="str">
        <x:f>IF(A355="","",IF(B355&lt;&gt;"Active","NOT REQUIRED",IF(COUNTIF('Client Services'!$A$5:$A$1004,A355)=0,"ADD SERVICES","OK")))</x:f>
      </x:c>
      <x:c r="M355" s="100" t="str">
        <x:f>IF(A355="","",IF(B355&lt;&gt;"Active","NOT REQUIRED",IF(COUNTIF(Schedule!$C$5:$C$1204,A355)=0,"UNSCHEDULED",IF(H355="Custom","OK",IF(COUNTIF(Schedule!$C$5:$C$1204,A355)=IF(H355="Weekly",4,IF(H355="Fortnightly",2,1)),"OK","CHECK VISITS")))))</x:f>
      </x:c>
      <x:c r="N355" s="100" t="str">
        <x:f>IF(A355="","",IF(COUNTIF($A$5:$A$404,A355)&gt;1,"DUPLICATE CLIENT",IF(B355="Active",IF(OR(F355="",G355="",H355="",J355=""),"COMPLETE CLIENT",IF(COUNTIF(Teams!$A$5:$A$104,J355)=0,"TEAM NOT FOUND","OK")),"OK")))</x:f>
      </x:c>
    </x:row>
    <x:row r="356">
      <x:c r="L356" s="100" t="str">
        <x:f>IF(A356="","",IF(B356&lt;&gt;"Active","NOT REQUIRED",IF(COUNTIF('Client Services'!$A$5:$A$1004,A356)=0,"ADD SERVICES","OK")))</x:f>
      </x:c>
      <x:c r="M356" s="100" t="str">
        <x:f>IF(A356="","",IF(B356&lt;&gt;"Active","NOT REQUIRED",IF(COUNTIF(Schedule!$C$5:$C$1204,A356)=0,"UNSCHEDULED",IF(H356="Custom","OK",IF(COUNTIF(Schedule!$C$5:$C$1204,A356)=IF(H356="Weekly",4,IF(H356="Fortnightly",2,1)),"OK","CHECK VISITS")))))</x:f>
      </x:c>
      <x:c r="N356" s="100" t="str">
        <x:f>IF(A356="","",IF(COUNTIF($A$5:$A$404,A356)&gt;1,"DUPLICATE CLIENT",IF(B356="Active",IF(OR(F356="",G356="",H356="",J356=""),"COMPLETE CLIENT",IF(COUNTIF(Teams!$A$5:$A$104,J356)=0,"TEAM NOT FOUND","OK")),"OK")))</x:f>
      </x:c>
    </x:row>
    <x:row r="357">
      <x:c r="L357" s="100" t="str">
        <x:f>IF(A357="","",IF(B357&lt;&gt;"Active","NOT REQUIRED",IF(COUNTIF('Client Services'!$A$5:$A$1004,A357)=0,"ADD SERVICES","OK")))</x:f>
      </x:c>
      <x:c r="M357" s="100" t="str">
        <x:f>IF(A357="","",IF(B357&lt;&gt;"Active","NOT REQUIRED",IF(COUNTIF(Schedule!$C$5:$C$1204,A357)=0,"UNSCHEDULED",IF(H357="Custom","OK",IF(COUNTIF(Schedule!$C$5:$C$1204,A357)=IF(H357="Weekly",4,IF(H357="Fortnightly",2,1)),"OK","CHECK VISITS")))))</x:f>
      </x:c>
      <x:c r="N357" s="100" t="str">
        <x:f>IF(A357="","",IF(COUNTIF($A$5:$A$404,A357)&gt;1,"DUPLICATE CLIENT",IF(B357="Active",IF(OR(F357="",G357="",H357="",J357=""),"COMPLETE CLIENT",IF(COUNTIF(Teams!$A$5:$A$104,J357)=0,"TEAM NOT FOUND","OK")),"OK")))</x:f>
      </x:c>
    </x:row>
    <x:row r="358">
      <x:c r="L358" s="100" t="str">
        <x:f>IF(A358="","",IF(B358&lt;&gt;"Active","NOT REQUIRED",IF(COUNTIF('Client Services'!$A$5:$A$1004,A358)=0,"ADD SERVICES","OK")))</x:f>
      </x:c>
      <x:c r="M358" s="100" t="str">
        <x:f>IF(A358="","",IF(B358&lt;&gt;"Active","NOT REQUIRED",IF(COUNTIF(Schedule!$C$5:$C$1204,A358)=0,"UNSCHEDULED",IF(H358="Custom","OK",IF(COUNTIF(Schedule!$C$5:$C$1204,A358)=IF(H358="Weekly",4,IF(H358="Fortnightly",2,1)),"OK","CHECK VISITS")))))</x:f>
      </x:c>
      <x:c r="N358" s="100" t="str">
        <x:f>IF(A358="","",IF(COUNTIF($A$5:$A$404,A358)&gt;1,"DUPLICATE CLIENT",IF(B358="Active",IF(OR(F358="",G358="",H358="",J358=""),"COMPLETE CLIENT",IF(COUNTIF(Teams!$A$5:$A$104,J358)=0,"TEAM NOT FOUND","OK")),"OK")))</x:f>
      </x:c>
    </x:row>
    <x:row r="359">
      <x:c r="L359" s="100" t="str">
        <x:f>IF(A359="","",IF(B359&lt;&gt;"Active","NOT REQUIRED",IF(COUNTIF('Client Services'!$A$5:$A$1004,A359)=0,"ADD SERVICES","OK")))</x:f>
      </x:c>
      <x:c r="M359" s="100" t="str">
        <x:f>IF(A359="","",IF(B359&lt;&gt;"Active","NOT REQUIRED",IF(COUNTIF(Schedule!$C$5:$C$1204,A359)=0,"UNSCHEDULED",IF(H359="Custom","OK",IF(COUNTIF(Schedule!$C$5:$C$1204,A359)=IF(H359="Weekly",4,IF(H359="Fortnightly",2,1)),"OK","CHECK VISITS")))))</x:f>
      </x:c>
      <x:c r="N359" s="100" t="str">
        <x:f>IF(A359="","",IF(COUNTIF($A$5:$A$404,A359)&gt;1,"DUPLICATE CLIENT",IF(B359="Active",IF(OR(F359="",G359="",H359="",J359=""),"COMPLETE CLIENT",IF(COUNTIF(Teams!$A$5:$A$104,J359)=0,"TEAM NOT FOUND","OK")),"OK")))</x:f>
      </x:c>
    </x:row>
    <x:row r="360">
      <x:c r="L360" s="100" t="str">
        <x:f>IF(A360="","",IF(B360&lt;&gt;"Active","NOT REQUIRED",IF(COUNTIF('Client Services'!$A$5:$A$1004,A360)=0,"ADD SERVICES","OK")))</x:f>
      </x:c>
      <x:c r="M360" s="100" t="str">
        <x:f>IF(A360="","",IF(B360&lt;&gt;"Active","NOT REQUIRED",IF(COUNTIF(Schedule!$C$5:$C$1204,A360)=0,"UNSCHEDULED",IF(H360="Custom","OK",IF(COUNTIF(Schedule!$C$5:$C$1204,A360)=IF(H360="Weekly",4,IF(H360="Fortnightly",2,1)),"OK","CHECK VISITS")))))</x:f>
      </x:c>
      <x:c r="N360" s="100" t="str">
        <x:f>IF(A360="","",IF(COUNTIF($A$5:$A$404,A360)&gt;1,"DUPLICATE CLIENT",IF(B360="Active",IF(OR(F360="",G360="",H360="",J360=""),"COMPLETE CLIENT",IF(COUNTIF(Teams!$A$5:$A$104,J360)=0,"TEAM NOT FOUND","OK")),"OK")))</x:f>
      </x:c>
    </x:row>
    <x:row r="361">
      <x:c r="L361" s="100" t="str">
        <x:f>IF(A361="","",IF(B361&lt;&gt;"Active","NOT REQUIRED",IF(COUNTIF('Client Services'!$A$5:$A$1004,A361)=0,"ADD SERVICES","OK")))</x:f>
      </x:c>
      <x:c r="M361" s="100" t="str">
        <x:f>IF(A361="","",IF(B361&lt;&gt;"Active","NOT REQUIRED",IF(COUNTIF(Schedule!$C$5:$C$1204,A361)=0,"UNSCHEDULED",IF(H361="Custom","OK",IF(COUNTIF(Schedule!$C$5:$C$1204,A361)=IF(H361="Weekly",4,IF(H361="Fortnightly",2,1)),"OK","CHECK VISITS")))))</x:f>
      </x:c>
      <x:c r="N361" s="100" t="str">
        <x:f>IF(A361="","",IF(COUNTIF($A$5:$A$404,A361)&gt;1,"DUPLICATE CLIENT",IF(B361="Active",IF(OR(F361="",G361="",H361="",J361=""),"COMPLETE CLIENT",IF(COUNTIF(Teams!$A$5:$A$104,J361)=0,"TEAM NOT FOUND","OK")),"OK")))</x:f>
      </x:c>
    </x:row>
    <x:row r="362">
      <x:c r="L362" s="100" t="str">
        <x:f>IF(A362="","",IF(B362&lt;&gt;"Active","NOT REQUIRED",IF(COUNTIF('Client Services'!$A$5:$A$1004,A362)=0,"ADD SERVICES","OK")))</x:f>
      </x:c>
      <x:c r="M362" s="100" t="str">
        <x:f>IF(A362="","",IF(B362&lt;&gt;"Active","NOT REQUIRED",IF(COUNTIF(Schedule!$C$5:$C$1204,A362)=0,"UNSCHEDULED",IF(H362="Custom","OK",IF(COUNTIF(Schedule!$C$5:$C$1204,A362)=IF(H362="Weekly",4,IF(H362="Fortnightly",2,1)),"OK","CHECK VISITS")))))</x:f>
      </x:c>
      <x:c r="N362" s="100" t="str">
        <x:f>IF(A362="","",IF(COUNTIF($A$5:$A$404,A362)&gt;1,"DUPLICATE CLIENT",IF(B362="Active",IF(OR(F362="",G362="",H362="",J362=""),"COMPLETE CLIENT",IF(COUNTIF(Teams!$A$5:$A$104,J362)=0,"TEAM NOT FOUND","OK")),"OK")))</x:f>
      </x:c>
    </x:row>
    <x:row r="363">
      <x:c r="L363" s="100" t="str">
        <x:f>IF(A363="","",IF(B363&lt;&gt;"Active","NOT REQUIRED",IF(COUNTIF('Client Services'!$A$5:$A$1004,A363)=0,"ADD SERVICES","OK")))</x:f>
      </x:c>
      <x:c r="M363" s="100" t="str">
        <x:f>IF(A363="","",IF(B363&lt;&gt;"Active","NOT REQUIRED",IF(COUNTIF(Schedule!$C$5:$C$1204,A363)=0,"UNSCHEDULED",IF(H363="Custom","OK",IF(COUNTIF(Schedule!$C$5:$C$1204,A363)=IF(H363="Weekly",4,IF(H363="Fortnightly",2,1)),"OK","CHECK VISITS")))))</x:f>
      </x:c>
      <x:c r="N363" s="100" t="str">
        <x:f>IF(A363="","",IF(COUNTIF($A$5:$A$404,A363)&gt;1,"DUPLICATE CLIENT",IF(B363="Active",IF(OR(F363="",G363="",H363="",J363=""),"COMPLETE CLIENT",IF(COUNTIF(Teams!$A$5:$A$104,J363)=0,"TEAM NOT FOUND","OK")),"OK")))</x:f>
      </x:c>
    </x:row>
    <x:row r="364">
      <x:c r="L364" s="100" t="str">
        <x:f>IF(A364="","",IF(B364&lt;&gt;"Active","NOT REQUIRED",IF(COUNTIF('Client Services'!$A$5:$A$1004,A364)=0,"ADD SERVICES","OK")))</x:f>
      </x:c>
      <x:c r="M364" s="100" t="str">
        <x:f>IF(A364="","",IF(B364&lt;&gt;"Active","NOT REQUIRED",IF(COUNTIF(Schedule!$C$5:$C$1204,A364)=0,"UNSCHEDULED",IF(H364="Custom","OK",IF(COUNTIF(Schedule!$C$5:$C$1204,A364)=IF(H364="Weekly",4,IF(H364="Fortnightly",2,1)),"OK","CHECK VISITS")))))</x:f>
      </x:c>
      <x:c r="N364" s="100" t="str">
        <x:f>IF(A364="","",IF(COUNTIF($A$5:$A$404,A364)&gt;1,"DUPLICATE CLIENT",IF(B364="Active",IF(OR(F364="",G364="",H364="",J364=""),"COMPLETE CLIENT",IF(COUNTIF(Teams!$A$5:$A$104,J364)=0,"TEAM NOT FOUND","OK")),"OK")))</x:f>
      </x:c>
    </x:row>
    <x:row r="365">
      <x:c r="L365" s="100" t="str">
        <x:f>IF(A365="","",IF(B365&lt;&gt;"Active","NOT REQUIRED",IF(COUNTIF('Client Services'!$A$5:$A$1004,A365)=0,"ADD SERVICES","OK")))</x:f>
      </x:c>
      <x:c r="M365" s="100" t="str">
        <x:f>IF(A365="","",IF(B365&lt;&gt;"Active","NOT REQUIRED",IF(COUNTIF(Schedule!$C$5:$C$1204,A365)=0,"UNSCHEDULED",IF(H365="Custom","OK",IF(COUNTIF(Schedule!$C$5:$C$1204,A365)=IF(H365="Weekly",4,IF(H365="Fortnightly",2,1)),"OK","CHECK VISITS")))))</x:f>
      </x:c>
      <x:c r="N365" s="100" t="str">
        <x:f>IF(A365="","",IF(COUNTIF($A$5:$A$404,A365)&gt;1,"DUPLICATE CLIENT",IF(B365="Active",IF(OR(F365="",G365="",H365="",J365=""),"COMPLETE CLIENT",IF(COUNTIF(Teams!$A$5:$A$104,J365)=0,"TEAM NOT FOUND","OK")),"OK")))</x:f>
      </x:c>
    </x:row>
    <x:row r="366">
      <x:c r="L366" s="100" t="str">
        <x:f>IF(A366="","",IF(B366&lt;&gt;"Active","NOT REQUIRED",IF(COUNTIF('Client Services'!$A$5:$A$1004,A366)=0,"ADD SERVICES","OK")))</x:f>
      </x:c>
      <x:c r="M366" s="100" t="str">
        <x:f>IF(A366="","",IF(B366&lt;&gt;"Active","NOT REQUIRED",IF(COUNTIF(Schedule!$C$5:$C$1204,A366)=0,"UNSCHEDULED",IF(H366="Custom","OK",IF(COUNTIF(Schedule!$C$5:$C$1204,A366)=IF(H366="Weekly",4,IF(H366="Fortnightly",2,1)),"OK","CHECK VISITS")))))</x:f>
      </x:c>
      <x:c r="N366" s="100" t="str">
        <x:f>IF(A366="","",IF(COUNTIF($A$5:$A$404,A366)&gt;1,"DUPLICATE CLIENT",IF(B366="Active",IF(OR(F366="",G366="",H366="",J366=""),"COMPLETE CLIENT",IF(COUNTIF(Teams!$A$5:$A$104,J366)=0,"TEAM NOT FOUND","OK")),"OK")))</x:f>
      </x:c>
    </x:row>
    <x:row r="367">
      <x:c r="L367" s="100" t="str">
        <x:f>IF(A367="","",IF(B367&lt;&gt;"Active","NOT REQUIRED",IF(COUNTIF('Client Services'!$A$5:$A$1004,A367)=0,"ADD SERVICES","OK")))</x:f>
      </x:c>
      <x:c r="M367" s="100" t="str">
        <x:f>IF(A367="","",IF(B367&lt;&gt;"Active","NOT REQUIRED",IF(COUNTIF(Schedule!$C$5:$C$1204,A367)=0,"UNSCHEDULED",IF(H367="Custom","OK",IF(COUNTIF(Schedule!$C$5:$C$1204,A367)=IF(H367="Weekly",4,IF(H367="Fortnightly",2,1)),"OK","CHECK VISITS")))))</x:f>
      </x:c>
      <x:c r="N367" s="100" t="str">
        <x:f>IF(A367="","",IF(COUNTIF($A$5:$A$404,A367)&gt;1,"DUPLICATE CLIENT",IF(B367="Active",IF(OR(F367="",G367="",H367="",J367=""),"COMPLETE CLIENT",IF(COUNTIF(Teams!$A$5:$A$104,J367)=0,"TEAM NOT FOUND","OK")),"OK")))</x:f>
      </x:c>
    </x:row>
    <x:row r="368">
      <x:c r="L368" s="100" t="str">
        <x:f>IF(A368="","",IF(B368&lt;&gt;"Active","NOT REQUIRED",IF(COUNTIF('Client Services'!$A$5:$A$1004,A368)=0,"ADD SERVICES","OK")))</x:f>
      </x:c>
      <x:c r="M368" s="100" t="str">
        <x:f>IF(A368="","",IF(B368&lt;&gt;"Active","NOT REQUIRED",IF(COUNTIF(Schedule!$C$5:$C$1204,A368)=0,"UNSCHEDULED",IF(H368="Custom","OK",IF(COUNTIF(Schedule!$C$5:$C$1204,A368)=IF(H368="Weekly",4,IF(H368="Fortnightly",2,1)),"OK","CHECK VISITS")))))</x:f>
      </x:c>
      <x:c r="N368" s="100" t="str">
        <x:f>IF(A368="","",IF(COUNTIF($A$5:$A$404,A368)&gt;1,"DUPLICATE CLIENT",IF(B368="Active",IF(OR(F368="",G368="",H368="",J368=""),"COMPLETE CLIENT",IF(COUNTIF(Teams!$A$5:$A$104,J368)=0,"TEAM NOT FOUND","OK")),"OK")))</x:f>
      </x:c>
    </x:row>
    <x:row r="369">
      <x:c r="L369" s="100" t="str">
        <x:f>IF(A369="","",IF(B369&lt;&gt;"Active","NOT REQUIRED",IF(COUNTIF('Client Services'!$A$5:$A$1004,A369)=0,"ADD SERVICES","OK")))</x:f>
      </x:c>
      <x:c r="M369" s="100" t="str">
        <x:f>IF(A369="","",IF(B369&lt;&gt;"Active","NOT REQUIRED",IF(COUNTIF(Schedule!$C$5:$C$1204,A369)=0,"UNSCHEDULED",IF(H369="Custom","OK",IF(COUNTIF(Schedule!$C$5:$C$1204,A369)=IF(H369="Weekly",4,IF(H369="Fortnightly",2,1)),"OK","CHECK VISITS")))))</x:f>
      </x:c>
      <x:c r="N369" s="100" t="str">
        <x:f>IF(A369="","",IF(COUNTIF($A$5:$A$404,A369)&gt;1,"DUPLICATE CLIENT",IF(B369="Active",IF(OR(F369="",G369="",H369="",J369=""),"COMPLETE CLIENT",IF(COUNTIF(Teams!$A$5:$A$104,J369)=0,"TEAM NOT FOUND","OK")),"OK")))</x:f>
      </x:c>
    </x:row>
    <x:row r="370">
      <x:c r="L370" s="100" t="str">
        <x:f>IF(A370="","",IF(B370&lt;&gt;"Active","NOT REQUIRED",IF(COUNTIF('Client Services'!$A$5:$A$1004,A370)=0,"ADD SERVICES","OK")))</x:f>
      </x:c>
      <x:c r="M370" s="100" t="str">
        <x:f>IF(A370="","",IF(B370&lt;&gt;"Active","NOT REQUIRED",IF(COUNTIF(Schedule!$C$5:$C$1204,A370)=0,"UNSCHEDULED",IF(H370="Custom","OK",IF(COUNTIF(Schedule!$C$5:$C$1204,A370)=IF(H370="Weekly",4,IF(H370="Fortnightly",2,1)),"OK","CHECK VISITS")))))</x:f>
      </x:c>
      <x:c r="N370" s="100" t="str">
        <x:f>IF(A370="","",IF(COUNTIF($A$5:$A$404,A370)&gt;1,"DUPLICATE CLIENT",IF(B370="Active",IF(OR(F370="",G370="",H370="",J370=""),"COMPLETE CLIENT",IF(COUNTIF(Teams!$A$5:$A$104,J370)=0,"TEAM NOT FOUND","OK")),"OK")))</x:f>
      </x:c>
    </x:row>
    <x:row r="371">
      <x:c r="L371" s="100" t="str">
        <x:f>IF(A371="","",IF(B371&lt;&gt;"Active","NOT REQUIRED",IF(COUNTIF('Client Services'!$A$5:$A$1004,A371)=0,"ADD SERVICES","OK")))</x:f>
      </x:c>
      <x:c r="M371" s="100" t="str">
        <x:f>IF(A371="","",IF(B371&lt;&gt;"Active","NOT REQUIRED",IF(COUNTIF(Schedule!$C$5:$C$1204,A371)=0,"UNSCHEDULED",IF(H371="Custom","OK",IF(COUNTIF(Schedule!$C$5:$C$1204,A371)=IF(H371="Weekly",4,IF(H371="Fortnightly",2,1)),"OK","CHECK VISITS")))))</x:f>
      </x:c>
      <x:c r="N371" s="100" t="str">
        <x:f>IF(A371="","",IF(COUNTIF($A$5:$A$404,A371)&gt;1,"DUPLICATE CLIENT",IF(B371="Active",IF(OR(F371="",G371="",H371="",J371=""),"COMPLETE CLIENT",IF(COUNTIF(Teams!$A$5:$A$104,J371)=0,"TEAM NOT FOUND","OK")),"OK")))</x:f>
      </x:c>
    </x:row>
    <x:row r="372">
      <x:c r="L372" s="100" t="str">
        <x:f>IF(A372="","",IF(B372&lt;&gt;"Active","NOT REQUIRED",IF(COUNTIF('Client Services'!$A$5:$A$1004,A372)=0,"ADD SERVICES","OK")))</x:f>
      </x:c>
      <x:c r="M372" s="100" t="str">
        <x:f>IF(A372="","",IF(B372&lt;&gt;"Active","NOT REQUIRED",IF(COUNTIF(Schedule!$C$5:$C$1204,A372)=0,"UNSCHEDULED",IF(H372="Custom","OK",IF(COUNTIF(Schedule!$C$5:$C$1204,A372)=IF(H372="Weekly",4,IF(H372="Fortnightly",2,1)),"OK","CHECK VISITS")))))</x:f>
      </x:c>
      <x:c r="N372" s="100" t="str">
        <x:f>IF(A372="","",IF(COUNTIF($A$5:$A$404,A372)&gt;1,"DUPLICATE CLIENT",IF(B372="Active",IF(OR(F372="",G372="",H372="",J372=""),"COMPLETE CLIENT",IF(COUNTIF(Teams!$A$5:$A$104,J372)=0,"TEAM NOT FOUND","OK")),"OK")))</x:f>
      </x:c>
    </x:row>
    <x:row r="373">
      <x:c r="L373" s="100" t="str">
        <x:f>IF(A373="","",IF(B373&lt;&gt;"Active","NOT REQUIRED",IF(COUNTIF('Client Services'!$A$5:$A$1004,A373)=0,"ADD SERVICES","OK")))</x:f>
      </x:c>
      <x:c r="M373" s="100" t="str">
        <x:f>IF(A373="","",IF(B373&lt;&gt;"Active","NOT REQUIRED",IF(COUNTIF(Schedule!$C$5:$C$1204,A373)=0,"UNSCHEDULED",IF(H373="Custom","OK",IF(COUNTIF(Schedule!$C$5:$C$1204,A373)=IF(H373="Weekly",4,IF(H373="Fortnightly",2,1)),"OK","CHECK VISITS")))))</x:f>
      </x:c>
      <x:c r="N373" s="100" t="str">
        <x:f>IF(A373="","",IF(COUNTIF($A$5:$A$404,A373)&gt;1,"DUPLICATE CLIENT",IF(B373="Active",IF(OR(F373="",G373="",H373="",J373=""),"COMPLETE CLIENT",IF(COUNTIF(Teams!$A$5:$A$104,J373)=0,"TEAM NOT FOUND","OK")),"OK")))</x:f>
      </x:c>
    </x:row>
    <x:row r="374">
      <x:c r="L374" s="100" t="str">
        <x:f>IF(A374="","",IF(B374&lt;&gt;"Active","NOT REQUIRED",IF(COUNTIF('Client Services'!$A$5:$A$1004,A374)=0,"ADD SERVICES","OK")))</x:f>
      </x:c>
      <x:c r="M374" s="100" t="str">
        <x:f>IF(A374="","",IF(B374&lt;&gt;"Active","NOT REQUIRED",IF(COUNTIF(Schedule!$C$5:$C$1204,A374)=0,"UNSCHEDULED",IF(H374="Custom","OK",IF(COUNTIF(Schedule!$C$5:$C$1204,A374)=IF(H374="Weekly",4,IF(H374="Fortnightly",2,1)),"OK","CHECK VISITS")))))</x:f>
      </x:c>
      <x:c r="N374" s="100" t="str">
        <x:f>IF(A374="","",IF(COUNTIF($A$5:$A$404,A374)&gt;1,"DUPLICATE CLIENT",IF(B374="Active",IF(OR(F374="",G374="",H374="",J374=""),"COMPLETE CLIENT",IF(COUNTIF(Teams!$A$5:$A$104,J374)=0,"TEAM NOT FOUND","OK")),"OK")))</x:f>
      </x:c>
    </x:row>
    <x:row r="375">
      <x:c r="L375" s="100" t="str">
        <x:f>IF(A375="","",IF(B375&lt;&gt;"Active","NOT REQUIRED",IF(COUNTIF('Client Services'!$A$5:$A$1004,A375)=0,"ADD SERVICES","OK")))</x:f>
      </x:c>
      <x:c r="M375" s="100" t="str">
        <x:f>IF(A375="","",IF(B375&lt;&gt;"Active","NOT REQUIRED",IF(COUNTIF(Schedule!$C$5:$C$1204,A375)=0,"UNSCHEDULED",IF(H375="Custom","OK",IF(COUNTIF(Schedule!$C$5:$C$1204,A375)=IF(H375="Weekly",4,IF(H375="Fortnightly",2,1)),"OK","CHECK VISITS")))))</x:f>
      </x:c>
      <x:c r="N375" s="100" t="str">
        <x:f>IF(A375="","",IF(COUNTIF($A$5:$A$404,A375)&gt;1,"DUPLICATE CLIENT",IF(B375="Active",IF(OR(F375="",G375="",H375="",J375=""),"COMPLETE CLIENT",IF(COUNTIF(Teams!$A$5:$A$104,J375)=0,"TEAM NOT FOUND","OK")),"OK")))</x:f>
      </x:c>
    </x:row>
    <x:row r="376">
      <x:c r="L376" s="100" t="str">
        <x:f>IF(A376="","",IF(B376&lt;&gt;"Active","NOT REQUIRED",IF(COUNTIF('Client Services'!$A$5:$A$1004,A376)=0,"ADD SERVICES","OK")))</x:f>
      </x:c>
      <x:c r="M376" s="100" t="str">
        <x:f>IF(A376="","",IF(B376&lt;&gt;"Active","NOT REQUIRED",IF(COUNTIF(Schedule!$C$5:$C$1204,A376)=0,"UNSCHEDULED",IF(H376="Custom","OK",IF(COUNTIF(Schedule!$C$5:$C$1204,A376)=IF(H376="Weekly",4,IF(H376="Fortnightly",2,1)),"OK","CHECK VISITS")))))</x:f>
      </x:c>
      <x:c r="N376" s="100" t="str">
        <x:f>IF(A376="","",IF(COUNTIF($A$5:$A$404,A376)&gt;1,"DUPLICATE CLIENT",IF(B376="Active",IF(OR(F376="",G376="",H376="",J376=""),"COMPLETE CLIENT",IF(COUNTIF(Teams!$A$5:$A$104,J376)=0,"TEAM NOT FOUND","OK")),"OK")))</x:f>
      </x:c>
    </x:row>
    <x:row r="377">
      <x:c r="L377" s="100" t="str">
        <x:f>IF(A377="","",IF(B377&lt;&gt;"Active","NOT REQUIRED",IF(COUNTIF('Client Services'!$A$5:$A$1004,A377)=0,"ADD SERVICES","OK")))</x:f>
      </x:c>
      <x:c r="M377" s="100" t="str">
        <x:f>IF(A377="","",IF(B377&lt;&gt;"Active","NOT REQUIRED",IF(COUNTIF(Schedule!$C$5:$C$1204,A377)=0,"UNSCHEDULED",IF(H377="Custom","OK",IF(COUNTIF(Schedule!$C$5:$C$1204,A377)=IF(H377="Weekly",4,IF(H377="Fortnightly",2,1)),"OK","CHECK VISITS")))))</x:f>
      </x:c>
      <x:c r="N377" s="100" t="str">
        <x:f>IF(A377="","",IF(COUNTIF($A$5:$A$404,A377)&gt;1,"DUPLICATE CLIENT",IF(B377="Active",IF(OR(F377="",G377="",H377="",J377=""),"COMPLETE CLIENT",IF(COUNTIF(Teams!$A$5:$A$104,J377)=0,"TEAM NOT FOUND","OK")),"OK")))</x:f>
      </x:c>
    </x:row>
    <x:row r="378">
      <x:c r="L378" s="100" t="str">
        <x:f>IF(A378="","",IF(B378&lt;&gt;"Active","NOT REQUIRED",IF(COUNTIF('Client Services'!$A$5:$A$1004,A378)=0,"ADD SERVICES","OK")))</x:f>
      </x:c>
      <x:c r="M378" s="100" t="str">
        <x:f>IF(A378="","",IF(B378&lt;&gt;"Active","NOT REQUIRED",IF(COUNTIF(Schedule!$C$5:$C$1204,A378)=0,"UNSCHEDULED",IF(H378="Custom","OK",IF(COUNTIF(Schedule!$C$5:$C$1204,A378)=IF(H378="Weekly",4,IF(H378="Fortnightly",2,1)),"OK","CHECK VISITS")))))</x:f>
      </x:c>
      <x:c r="N378" s="100" t="str">
        <x:f>IF(A378="","",IF(COUNTIF($A$5:$A$404,A378)&gt;1,"DUPLICATE CLIENT",IF(B378="Active",IF(OR(F378="",G378="",H378="",J378=""),"COMPLETE CLIENT",IF(COUNTIF(Teams!$A$5:$A$104,J378)=0,"TEAM NOT FOUND","OK")),"OK")))</x:f>
      </x:c>
    </x:row>
    <x:row r="379">
      <x:c r="L379" s="100" t="str">
        <x:f>IF(A379="","",IF(B379&lt;&gt;"Active","NOT REQUIRED",IF(COUNTIF('Client Services'!$A$5:$A$1004,A379)=0,"ADD SERVICES","OK")))</x:f>
      </x:c>
      <x:c r="M379" s="100" t="str">
        <x:f>IF(A379="","",IF(B379&lt;&gt;"Active","NOT REQUIRED",IF(COUNTIF(Schedule!$C$5:$C$1204,A379)=0,"UNSCHEDULED",IF(H379="Custom","OK",IF(COUNTIF(Schedule!$C$5:$C$1204,A379)=IF(H379="Weekly",4,IF(H379="Fortnightly",2,1)),"OK","CHECK VISITS")))))</x:f>
      </x:c>
      <x:c r="N379" s="100" t="str">
        <x:f>IF(A379="","",IF(COUNTIF($A$5:$A$404,A379)&gt;1,"DUPLICATE CLIENT",IF(B379="Active",IF(OR(F379="",G379="",H379="",J379=""),"COMPLETE CLIENT",IF(COUNTIF(Teams!$A$5:$A$104,J379)=0,"TEAM NOT FOUND","OK")),"OK")))</x:f>
      </x:c>
    </x:row>
    <x:row r="380">
      <x:c r="L380" s="100" t="str">
        <x:f>IF(A380="","",IF(B380&lt;&gt;"Active","NOT REQUIRED",IF(COUNTIF('Client Services'!$A$5:$A$1004,A380)=0,"ADD SERVICES","OK")))</x:f>
      </x:c>
      <x:c r="M380" s="100" t="str">
        <x:f>IF(A380="","",IF(B380&lt;&gt;"Active","NOT REQUIRED",IF(COUNTIF(Schedule!$C$5:$C$1204,A380)=0,"UNSCHEDULED",IF(H380="Custom","OK",IF(COUNTIF(Schedule!$C$5:$C$1204,A380)=IF(H380="Weekly",4,IF(H380="Fortnightly",2,1)),"OK","CHECK VISITS")))))</x:f>
      </x:c>
      <x:c r="N380" s="100" t="str">
        <x:f>IF(A380="","",IF(COUNTIF($A$5:$A$404,A380)&gt;1,"DUPLICATE CLIENT",IF(B380="Active",IF(OR(F380="",G380="",H380="",J380=""),"COMPLETE CLIENT",IF(COUNTIF(Teams!$A$5:$A$104,J380)=0,"TEAM NOT FOUND","OK")),"OK")))</x:f>
      </x:c>
    </x:row>
    <x:row r="381">
      <x:c r="L381" s="100" t="str">
        <x:f>IF(A381="","",IF(B381&lt;&gt;"Active","NOT REQUIRED",IF(COUNTIF('Client Services'!$A$5:$A$1004,A381)=0,"ADD SERVICES","OK")))</x:f>
      </x:c>
      <x:c r="M381" s="100" t="str">
        <x:f>IF(A381="","",IF(B381&lt;&gt;"Active","NOT REQUIRED",IF(COUNTIF(Schedule!$C$5:$C$1204,A381)=0,"UNSCHEDULED",IF(H381="Custom","OK",IF(COUNTIF(Schedule!$C$5:$C$1204,A381)=IF(H381="Weekly",4,IF(H381="Fortnightly",2,1)),"OK","CHECK VISITS")))))</x:f>
      </x:c>
      <x:c r="N381" s="100" t="str">
        <x:f>IF(A381="","",IF(COUNTIF($A$5:$A$404,A381)&gt;1,"DUPLICATE CLIENT",IF(B381="Active",IF(OR(F381="",G381="",H381="",J381=""),"COMPLETE CLIENT",IF(COUNTIF(Teams!$A$5:$A$104,J381)=0,"TEAM NOT FOUND","OK")),"OK")))</x:f>
      </x:c>
    </x:row>
    <x:row r="382">
      <x:c r="L382" s="100" t="str">
        <x:f>IF(A382="","",IF(B382&lt;&gt;"Active","NOT REQUIRED",IF(COUNTIF('Client Services'!$A$5:$A$1004,A382)=0,"ADD SERVICES","OK")))</x:f>
      </x:c>
      <x:c r="M382" s="100" t="str">
        <x:f>IF(A382="","",IF(B382&lt;&gt;"Active","NOT REQUIRED",IF(COUNTIF(Schedule!$C$5:$C$1204,A382)=0,"UNSCHEDULED",IF(H382="Custom","OK",IF(COUNTIF(Schedule!$C$5:$C$1204,A382)=IF(H382="Weekly",4,IF(H382="Fortnightly",2,1)),"OK","CHECK VISITS")))))</x:f>
      </x:c>
      <x:c r="N382" s="100" t="str">
        <x:f>IF(A382="","",IF(COUNTIF($A$5:$A$404,A382)&gt;1,"DUPLICATE CLIENT",IF(B382="Active",IF(OR(F382="",G382="",H382="",J382=""),"COMPLETE CLIENT",IF(COUNTIF(Teams!$A$5:$A$104,J382)=0,"TEAM NOT FOUND","OK")),"OK")))</x:f>
      </x:c>
    </x:row>
    <x:row r="383">
      <x:c r="L383" s="100" t="str">
        <x:f>IF(A383="","",IF(B383&lt;&gt;"Active","NOT REQUIRED",IF(COUNTIF('Client Services'!$A$5:$A$1004,A383)=0,"ADD SERVICES","OK")))</x:f>
      </x:c>
      <x:c r="M383" s="100" t="str">
        <x:f>IF(A383="","",IF(B383&lt;&gt;"Active","NOT REQUIRED",IF(COUNTIF(Schedule!$C$5:$C$1204,A383)=0,"UNSCHEDULED",IF(H383="Custom","OK",IF(COUNTIF(Schedule!$C$5:$C$1204,A383)=IF(H383="Weekly",4,IF(H383="Fortnightly",2,1)),"OK","CHECK VISITS")))))</x:f>
      </x:c>
      <x:c r="N383" s="100" t="str">
        <x:f>IF(A383="","",IF(COUNTIF($A$5:$A$404,A383)&gt;1,"DUPLICATE CLIENT",IF(B383="Active",IF(OR(F383="",G383="",H383="",J383=""),"COMPLETE CLIENT",IF(COUNTIF(Teams!$A$5:$A$104,J383)=0,"TEAM NOT FOUND","OK")),"OK")))</x:f>
      </x:c>
    </x:row>
    <x:row r="384">
      <x:c r="L384" s="100" t="str">
        <x:f>IF(A384="","",IF(B384&lt;&gt;"Active","NOT REQUIRED",IF(COUNTIF('Client Services'!$A$5:$A$1004,A384)=0,"ADD SERVICES","OK")))</x:f>
      </x:c>
      <x:c r="M384" s="100" t="str">
        <x:f>IF(A384="","",IF(B384&lt;&gt;"Active","NOT REQUIRED",IF(COUNTIF(Schedule!$C$5:$C$1204,A384)=0,"UNSCHEDULED",IF(H384="Custom","OK",IF(COUNTIF(Schedule!$C$5:$C$1204,A384)=IF(H384="Weekly",4,IF(H384="Fortnightly",2,1)),"OK","CHECK VISITS")))))</x:f>
      </x:c>
      <x:c r="N384" s="100" t="str">
        <x:f>IF(A384="","",IF(COUNTIF($A$5:$A$404,A384)&gt;1,"DUPLICATE CLIENT",IF(B384="Active",IF(OR(F384="",G384="",H384="",J384=""),"COMPLETE CLIENT",IF(COUNTIF(Teams!$A$5:$A$104,J384)=0,"TEAM NOT FOUND","OK")),"OK")))</x:f>
      </x:c>
    </x:row>
    <x:row r="385">
      <x:c r="L385" s="100" t="str">
        <x:f>IF(A385="","",IF(B385&lt;&gt;"Active","NOT REQUIRED",IF(COUNTIF('Client Services'!$A$5:$A$1004,A385)=0,"ADD SERVICES","OK")))</x:f>
      </x:c>
      <x:c r="M385" s="100" t="str">
        <x:f>IF(A385="","",IF(B385&lt;&gt;"Active","NOT REQUIRED",IF(COUNTIF(Schedule!$C$5:$C$1204,A385)=0,"UNSCHEDULED",IF(H385="Custom","OK",IF(COUNTIF(Schedule!$C$5:$C$1204,A385)=IF(H385="Weekly",4,IF(H385="Fortnightly",2,1)),"OK","CHECK VISITS")))))</x:f>
      </x:c>
      <x:c r="N385" s="100" t="str">
        <x:f>IF(A385="","",IF(COUNTIF($A$5:$A$404,A385)&gt;1,"DUPLICATE CLIENT",IF(B385="Active",IF(OR(F385="",G385="",H385="",J385=""),"COMPLETE CLIENT",IF(COUNTIF(Teams!$A$5:$A$104,J385)=0,"TEAM NOT FOUND","OK")),"OK")))</x:f>
      </x:c>
    </x:row>
    <x:row r="386">
      <x:c r="L386" s="100" t="str">
        <x:f>IF(A386="","",IF(B386&lt;&gt;"Active","NOT REQUIRED",IF(COUNTIF('Client Services'!$A$5:$A$1004,A386)=0,"ADD SERVICES","OK")))</x:f>
      </x:c>
      <x:c r="M386" s="100" t="str">
        <x:f>IF(A386="","",IF(B386&lt;&gt;"Active","NOT REQUIRED",IF(COUNTIF(Schedule!$C$5:$C$1204,A386)=0,"UNSCHEDULED",IF(H386="Custom","OK",IF(COUNTIF(Schedule!$C$5:$C$1204,A386)=IF(H386="Weekly",4,IF(H386="Fortnightly",2,1)),"OK","CHECK VISITS")))))</x:f>
      </x:c>
      <x:c r="N386" s="100" t="str">
        <x:f>IF(A386="","",IF(COUNTIF($A$5:$A$404,A386)&gt;1,"DUPLICATE CLIENT",IF(B386="Active",IF(OR(F386="",G386="",H386="",J386=""),"COMPLETE CLIENT",IF(COUNTIF(Teams!$A$5:$A$104,J386)=0,"TEAM NOT FOUND","OK")),"OK")))</x:f>
      </x:c>
    </x:row>
    <x:row r="387">
      <x:c r="L387" s="100" t="str">
        <x:f>IF(A387="","",IF(B387&lt;&gt;"Active","NOT REQUIRED",IF(COUNTIF('Client Services'!$A$5:$A$1004,A387)=0,"ADD SERVICES","OK")))</x:f>
      </x:c>
      <x:c r="M387" s="100" t="str">
        <x:f>IF(A387="","",IF(B387&lt;&gt;"Active","NOT REQUIRED",IF(COUNTIF(Schedule!$C$5:$C$1204,A387)=0,"UNSCHEDULED",IF(H387="Custom","OK",IF(COUNTIF(Schedule!$C$5:$C$1204,A387)=IF(H387="Weekly",4,IF(H387="Fortnightly",2,1)),"OK","CHECK VISITS")))))</x:f>
      </x:c>
      <x:c r="N387" s="100" t="str">
        <x:f>IF(A387="","",IF(COUNTIF($A$5:$A$404,A387)&gt;1,"DUPLICATE CLIENT",IF(B387="Active",IF(OR(F387="",G387="",H387="",J387=""),"COMPLETE CLIENT",IF(COUNTIF(Teams!$A$5:$A$104,J387)=0,"TEAM NOT FOUND","OK")),"OK")))</x:f>
      </x:c>
    </x:row>
    <x:row r="388">
      <x:c r="L388" s="100" t="str">
        <x:f>IF(A388="","",IF(B388&lt;&gt;"Active","NOT REQUIRED",IF(COUNTIF('Client Services'!$A$5:$A$1004,A388)=0,"ADD SERVICES","OK")))</x:f>
      </x:c>
      <x:c r="M388" s="100" t="str">
        <x:f>IF(A388="","",IF(B388&lt;&gt;"Active","NOT REQUIRED",IF(COUNTIF(Schedule!$C$5:$C$1204,A388)=0,"UNSCHEDULED",IF(H388="Custom","OK",IF(COUNTIF(Schedule!$C$5:$C$1204,A388)=IF(H388="Weekly",4,IF(H388="Fortnightly",2,1)),"OK","CHECK VISITS")))))</x:f>
      </x:c>
      <x:c r="N388" s="100" t="str">
        <x:f>IF(A388="","",IF(COUNTIF($A$5:$A$404,A388)&gt;1,"DUPLICATE CLIENT",IF(B388="Active",IF(OR(F388="",G388="",H388="",J388=""),"COMPLETE CLIENT",IF(COUNTIF(Teams!$A$5:$A$104,J388)=0,"TEAM NOT FOUND","OK")),"OK")))</x:f>
      </x:c>
    </x:row>
    <x:row r="389">
      <x:c r="L389" s="100" t="str">
        <x:f>IF(A389="","",IF(B389&lt;&gt;"Active","NOT REQUIRED",IF(COUNTIF('Client Services'!$A$5:$A$1004,A389)=0,"ADD SERVICES","OK")))</x:f>
      </x:c>
      <x:c r="M389" s="100" t="str">
        <x:f>IF(A389="","",IF(B389&lt;&gt;"Active","NOT REQUIRED",IF(COUNTIF(Schedule!$C$5:$C$1204,A389)=0,"UNSCHEDULED",IF(H389="Custom","OK",IF(COUNTIF(Schedule!$C$5:$C$1204,A389)=IF(H389="Weekly",4,IF(H389="Fortnightly",2,1)),"OK","CHECK VISITS")))))</x:f>
      </x:c>
      <x:c r="N389" s="100" t="str">
        <x:f>IF(A389="","",IF(COUNTIF($A$5:$A$404,A389)&gt;1,"DUPLICATE CLIENT",IF(B389="Active",IF(OR(F389="",G389="",H389="",J389=""),"COMPLETE CLIENT",IF(COUNTIF(Teams!$A$5:$A$104,J389)=0,"TEAM NOT FOUND","OK")),"OK")))</x:f>
      </x:c>
    </x:row>
    <x:row r="390">
      <x:c r="L390" s="100" t="str">
        <x:f>IF(A390="","",IF(B390&lt;&gt;"Active","NOT REQUIRED",IF(COUNTIF('Client Services'!$A$5:$A$1004,A390)=0,"ADD SERVICES","OK")))</x:f>
      </x:c>
      <x:c r="M390" s="100" t="str">
        <x:f>IF(A390="","",IF(B390&lt;&gt;"Active","NOT REQUIRED",IF(COUNTIF(Schedule!$C$5:$C$1204,A390)=0,"UNSCHEDULED",IF(H390="Custom","OK",IF(COUNTIF(Schedule!$C$5:$C$1204,A390)=IF(H390="Weekly",4,IF(H390="Fortnightly",2,1)),"OK","CHECK VISITS")))))</x:f>
      </x:c>
      <x:c r="N390" s="100" t="str">
        <x:f>IF(A390="","",IF(COUNTIF($A$5:$A$404,A390)&gt;1,"DUPLICATE CLIENT",IF(B390="Active",IF(OR(F390="",G390="",H390="",J390=""),"COMPLETE CLIENT",IF(COUNTIF(Teams!$A$5:$A$104,J390)=0,"TEAM NOT FOUND","OK")),"OK")))</x:f>
      </x:c>
    </x:row>
    <x:row r="391">
      <x:c r="L391" s="100" t="str">
        <x:f>IF(A391="","",IF(B391&lt;&gt;"Active","NOT REQUIRED",IF(COUNTIF('Client Services'!$A$5:$A$1004,A391)=0,"ADD SERVICES","OK")))</x:f>
      </x:c>
      <x:c r="M391" s="100" t="str">
        <x:f>IF(A391="","",IF(B391&lt;&gt;"Active","NOT REQUIRED",IF(COUNTIF(Schedule!$C$5:$C$1204,A391)=0,"UNSCHEDULED",IF(H391="Custom","OK",IF(COUNTIF(Schedule!$C$5:$C$1204,A391)=IF(H391="Weekly",4,IF(H391="Fortnightly",2,1)),"OK","CHECK VISITS")))))</x:f>
      </x:c>
      <x:c r="N391" s="100" t="str">
        <x:f>IF(A391="","",IF(COUNTIF($A$5:$A$404,A391)&gt;1,"DUPLICATE CLIENT",IF(B391="Active",IF(OR(F391="",G391="",H391="",J391=""),"COMPLETE CLIENT",IF(COUNTIF(Teams!$A$5:$A$104,J391)=0,"TEAM NOT FOUND","OK")),"OK")))</x:f>
      </x:c>
    </x:row>
    <x:row r="392">
      <x:c r="L392" s="100" t="str">
        <x:f>IF(A392="","",IF(B392&lt;&gt;"Active","NOT REQUIRED",IF(COUNTIF('Client Services'!$A$5:$A$1004,A392)=0,"ADD SERVICES","OK")))</x:f>
      </x:c>
      <x:c r="M392" s="100" t="str">
        <x:f>IF(A392="","",IF(B392&lt;&gt;"Active","NOT REQUIRED",IF(COUNTIF(Schedule!$C$5:$C$1204,A392)=0,"UNSCHEDULED",IF(H392="Custom","OK",IF(COUNTIF(Schedule!$C$5:$C$1204,A392)=IF(H392="Weekly",4,IF(H392="Fortnightly",2,1)),"OK","CHECK VISITS")))))</x:f>
      </x:c>
      <x:c r="N392" s="100" t="str">
        <x:f>IF(A392="","",IF(COUNTIF($A$5:$A$404,A392)&gt;1,"DUPLICATE CLIENT",IF(B392="Active",IF(OR(F392="",G392="",H392="",J392=""),"COMPLETE CLIENT",IF(COUNTIF(Teams!$A$5:$A$104,J392)=0,"TEAM NOT FOUND","OK")),"OK")))</x:f>
      </x:c>
    </x:row>
    <x:row r="393">
      <x:c r="L393" s="100" t="str">
        <x:f>IF(A393="","",IF(B393&lt;&gt;"Active","NOT REQUIRED",IF(COUNTIF('Client Services'!$A$5:$A$1004,A393)=0,"ADD SERVICES","OK")))</x:f>
      </x:c>
      <x:c r="M393" s="100" t="str">
        <x:f>IF(A393="","",IF(B393&lt;&gt;"Active","NOT REQUIRED",IF(COUNTIF(Schedule!$C$5:$C$1204,A393)=0,"UNSCHEDULED",IF(H393="Custom","OK",IF(COUNTIF(Schedule!$C$5:$C$1204,A393)=IF(H393="Weekly",4,IF(H393="Fortnightly",2,1)),"OK","CHECK VISITS")))))</x:f>
      </x:c>
      <x:c r="N393" s="100" t="str">
        <x:f>IF(A393="","",IF(COUNTIF($A$5:$A$404,A393)&gt;1,"DUPLICATE CLIENT",IF(B393="Active",IF(OR(F393="",G393="",H393="",J393=""),"COMPLETE CLIENT",IF(COUNTIF(Teams!$A$5:$A$104,J393)=0,"TEAM NOT FOUND","OK")),"OK")))</x:f>
      </x:c>
    </x:row>
    <x:row r="394">
      <x:c r="L394" s="100" t="str">
        <x:f>IF(A394="","",IF(B394&lt;&gt;"Active","NOT REQUIRED",IF(COUNTIF('Client Services'!$A$5:$A$1004,A394)=0,"ADD SERVICES","OK")))</x:f>
      </x:c>
      <x:c r="M394" s="100" t="str">
        <x:f>IF(A394="","",IF(B394&lt;&gt;"Active","NOT REQUIRED",IF(COUNTIF(Schedule!$C$5:$C$1204,A394)=0,"UNSCHEDULED",IF(H394="Custom","OK",IF(COUNTIF(Schedule!$C$5:$C$1204,A394)=IF(H394="Weekly",4,IF(H394="Fortnightly",2,1)),"OK","CHECK VISITS")))))</x:f>
      </x:c>
      <x:c r="N394" s="100" t="str">
        <x:f>IF(A394="","",IF(COUNTIF($A$5:$A$404,A394)&gt;1,"DUPLICATE CLIENT",IF(B394="Active",IF(OR(F394="",G394="",H394="",J394=""),"COMPLETE CLIENT",IF(COUNTIF(Teams!$A$5:$A$104,J394)=0,"TEAM NOT FOUND","OK")),"OK")))</x:f>
      </x:c>
    </x:row>
    <x:row r="395">
      <x:c r="L395" s="100" t="str">
        <x:f>IF(A395="","",IF(B395&lt;&gt;"Active","NOT REQUIRED",IF(COUNTIF('Client Services'!$A$5:$A$1004,A395)=0,"ADD SERVICES","OK")))</x:f>
      </x:c>
      <x:c r="M395" s="100" t="str">
        <x:f>IF(A395="","",IF(B395&lt;&gt;"Active","NOT REQUIRED",IF(COUNTIF(Schedule!$C$5:$C$1204,A395)=0,"UNSCHEDULED",IF(H395="Custom","OK",IF(COUNTIF(Schedule!$C$5:$C$1204,A395)=IF(H395="Weekly",4,IF(H395="Fortnightly",2,1)),"OK","CHECK VISITS")))))</x:f>
      </x:c>
      <x:c r="N395" s="100" t="str">
        <x:f>IF(A395="","",IF(COUNTIF($A$5:$A$404,A395)&gt;1,"DUPLICATE CLIENT",IF(B395="Active",IF(OR(F395="",G395="",H395="",J395=""),"COMPLETE CLIENT",IF(COUNTIF(Teams!$A$5:$A$104,J395)=0,"TEAM NOT FOUND","OK")),"OK")))</x:f>
      </x:c>
    </x:row>
    <x:row r="396">
      <x:c r="L396" s="100" t="str">
        <x:f>IF(A396="","",IF(B396&lt;&gt;"Active","NOT REQUIRED",IF(COUNTIF('Client Services'!$A$5:$A$1004,A396)=0,"ADD SERVICES","OK")))</x:f>
      </x:c>
      <x:c r="M396" s="100" t="str">
        <x:f>IF(A396="","",IF(B396&lt;&gt;"Active","NOT REQUIRED",IF(COUNTIF(Schedule!$C$5:$C$1204,A396)=0,"UNSCHEDULED",IF(H396="Custom","OK",IF(COUNTIF(Schedule!$C$5:$C$1204,A396)=IF(H396="Weekly",4,IF(H396="Fortnightly",2,1)),"OK","CHECK VISITS")))))</x:f>
      </x:c>
      <x:c r="N396" s="100" t="str">
        <x:f>IF(A396="","",IF(COUNTIF($A$5:$A$404,A396)&gt;1,"DUPLICATE CLIENT",IF(B396="Active",IF(OR(F396="",G396="",H396="",J396=""),"COMPLETE CLIENT",IF(COUNTIF(Teams!$A$5:$A$104,J396)=0,"TEAM NOT FOUND","OK")),"OK")))</x:f>
      </x:c>
    </x:row>
    <x:row r="397">
      <x:c r="L397" s="100" t="str">
        <x:f>IF(A397="","",IF(B397&lt;&gt;"Active","NOT REQUIRED",IF(COUNTIF('Client Services'!$A$5:$A$1004,A397)=0,"ADD SERVICES","OK")))</x:f>
      </x:c>
      <x:c r="M397" s="100" t="str">
        <x:f>IF(A397="","",IF(B397&lt;&gt;"Active","NOT REQUIRED",IF(COUNTIF(Schedule!$C$5:$C$1204,A397)=0,"UNSCHEDULED",IF(H397="Custom","OK",IF(COUNTIF(Schedule!$C$5:$C$1204,A397)=IF(H397="Weekly",4,IF(H397="Fortnightly",2,1)),"OK","CHECK VISITS")))))</x:f>
      </x:c>
      <x:c r="N397" s="100" t="str">
        <x:f>IF(A397="","",IF(COUNTIF($A$5:$A$404,A397)&gt;1,"DUPLICATE CLIENT",IF(B397="Active",IF(OR(F397="",G397="",H397="",J397=""),"COMPLETE CLIENT",IF(COUNTIF(Teams!$A$5:$A$104,J397)=0,"TEAM NOT FOUND","OK")),"OK")))</x:f>
      </x:c>
    </x:row>
    <x:row r="398">
      <x:c r="L398" s="100" t="str">
        <x:f>IF(A398="","",IF(B398&lt;&gt;"Active","NOT REQUIRED",IF(COUNTIF('Client Services'!$A$5:$A$1004,A398)=0,"ADD SERVICES","OK")))</x:f>
      </x:c>
      <x:c r="M398" s="100" t="str">
        <x:f>IF(A398="","",IF(B398&lt;&gt;"Active","NOT REQUIRED",IF(COUNTIF(Schedule!$C$5:$C$1204,A398)=0,"UNSCHEDULED",IF(H398="Custom","OK",IF(COUNTIF(Schedule!$C$5:$C$1204,A398)=IF(H398="Weekly",4,IF(H398="Fortnightly",2,1)),"OK","CHECK VISITS")))))</x:f>
      </x:c>
      <x:c r="N398" s="100" t="str">
        <x:f>IF(A398="","",IF(COUNTIF($A$5:$A$404,A398)&gt;1,"DUPLICATE CLIENT",IF(B398="Active",IF(OR(F398="",G398="",H398="",J398=""),"COMPLETE CLIENT",IF(COUNTIF(Teams!$A$5:$A$104,J398)=0,"TEAM NOT FOUND","OK")),"OK")))</x:f>
      </x:c>
    </x:row>
    <x:row r="399">
      <x:c r="L399" s="100" t="str">
        <x:f>IF(A399="","",IF(B399&lt;&gt;"Active","NOT REQUIRED",IF(COUNTIF('Client Services'!$A$5:$A$1004,A399)=0,"ADD SERVICES","OK")))</x:f>
      </x:c>
      <x:c r="M399" s="100" t="str">
        <x:f>IF(A399="","",IF(B399&lt;&gt;"Active","NOT REQUIRED",IF(COUNTIF(Schedule!$C$5:$C$1204,A399)=0,"UNSCHEDULED",IF(H399="Custom","OK",IF(COUNTIF(Schedule!$C$5:$C$1204,A399)=IF(H399="Weekly",4,IF(H399="Fortnightly",2,1)),"OK","CHECK VISITS")))))</x:f>
      </x:c>
      <x:c r="N399" s="100" t="str">
        <x:f>IF(A399="","",IF(COUNTIF($A$5:$A$404,A399)&gt;1,"DUPLICATE CLIENT",IF(B399="Active",IF(OR(F399="",G399="",H399="",J399=""),"COMPLETE CLIENT",IF(COUNTIF(Teams!$A$5:$A$104,J399)=0,"TEAM NOT FOUND","OK")),"OK")))</x:f>
      </x:c>
    </x:row>
    <x:row r="400">
      <x:c r="L400" s="100" t="str">
        <x:f>IF(A400="","",IF(B400&lt;&gt;"Active","NOT REQUIRED",IF(COUNTIF('Client Services'!$A$5:$A$1004,A400)=0,"ADD SERVICES","OK")))</x:f>
      </x:c>
      <x:c r="M400" s="100" t="str">
        <x:f>IF(A400="","",IF(B400&lt;&gt;"Active","NOT REQUIRED",IF(COUNTIF(Schedule!$C$5:$C$1204,A400)=0,"UNSCHEDULED",IF(H400="Custom","OK",IF(COUNTIF(Schedule!$C$5:$C$1204,A400)=IF(H400="Weekly",4,IF(H400="Fortnightly",2,1)),"OK","CHECK VISITS")))))</x:f>
      </x:c>
      <x:c r="N400" s="100" t="str">
        <x:f>IF(A400="","",IF(COUNTIF($A$5:$A$404,A400)&gt;1,"DUPLICATE CLIENT",IF(B400="Active",IF(OR(F400="",G400="",H400="",J400=""),"COMPLETE CLIENT",IF(COUNTIF(Teams!$A$5:$A$104,J400)=0,"TEAM NOT FOUND","OK")),"OK")))</x:f>
      </x:c>
    </x:row>
    <x:row r="401">
      <x:c r="L401" s="100" t="str">
        <x:f>IF(A401="","",IF(B401&lt;&gt;"Active","NOT REQUIRED",IF(COUNTIF('Client Services'!$A$5:$A$1004,A401)=0,"ADD SERVICES","OK")))</x:f>
      </x:c>
      <x:c r="M401" s="100" t="str">
        <x:f>IF(A401="","",IF(B401&lt;&gt;"Active","NOT REQUIRED",IF(COUNTIF(Schedule!$C$5:$C$1204,A401)=0,"UNSCHEDULED",IF(H401="Custom","OK",IF(COUNTIF(Schedule!$C$5:$C$1204,A401)=IF(H401="Weekly",4,IF(H401="Fortnightly",2,1)),"OK","CHECK VISITS")))))</x:f>
      </x:c>
      <x:c r="N401" s="100" t="str">
        <x:f>IF(A401="","",IF(COUNTIF($A$5:$A$404,A401)&gt;1,"DUPLICATE CLIENT",IF(B401="Active",IF(OR(F401="",G401="",H401="",J401=""),"COMPLETE CLIENT",IF(COUNTIF(Teams!$A$5:$A$104,J401)=0,"TEAM NOT FOUND","OK")),"OK")))</x:f>
      </x:c>
    </x:row>
    <x:row r="402">
      <x:c r="L402" s="100" t="str">
        <x:f>IF(A402="","",IF(B402&lt;&gt;"Active","NOT REQUIRED",IF(COUNTIF('Client Services'!$A$5:$A$1004,A402)=0,"ADD SERVICES","OK")))</x:f>
      </x:c>
      <x:c r="M402" s="100" t="str">
        <x:f>IF(A402="","",IF(B402&lt;&gt;"Active","NOT REQUIRED",IF(COUNTIF(Schedule!$C$5:$C$1204,A402)=0,"UNSCHEDULED",IF(H402="Custom","OK",IF(COUNTIF(Schedule!$C$5:$C$1204,A402)=IF(H402="Weekly",4,IF(H402="Fortnightly",2,1)),"OK","CHECK VISITS")))))</x:f>
      </x:c>
      <x:c r="N402" s="100" t="str">
        <x:f>IF(A402="","",IF(COUNTIF($A$5:$A$404,A402)&gt;1,"DUPLICATE CLIENT",IF(B402="Active",IF(OR(F402="",G402="",H402="",J402=""),"COMPLETE CLIENT",IF(COUNTIF(Teams!$A$5:$A$104,J402)=0,"TEAM NOT FOUND","OK")),"OK")))</x:f>
      </x:c>
    </x:row>
    <x:row r="403">
      <x:c r="L403" s="100" t="str">
        <x:f>IF(A403="","",IF(B403&lt;&gt;"Active","NOT REQUIRED",IF(COUNTIF('Client Services'!$A$5:$A$1004,A403)=0,"ADD SERVICES","OK")))</x:f>
      </x:c>
      <x:c r="M403" s="100" t="str">
        <x:f>IF(A403="","",IF(B403&lt;&gt;"Active","NOT REQUIRED",IF(COUNTIF(Schedule!$C$5:$C$1204,A403)=0,"UNSCHEDULED",IF(H403="Custom","OK",IF(COUNTIF(Schedule!$C$5:$C$1204,A403)=IF(H403="Weekly",4,IF(H403="Fortnightly",2,1)),"OK","CHECK VISITS")))))</x:f>
      </x:c>
      <x:c r="N403" s="100" t="str">
        <x:f>IF(A403="","",IF(COUNTIF($A$5:$A$404,A403)&gt;1,"DUPLICATE CLIENT",IF(B403="Active",IF(OR(F403="",G403="",H403="",J403=""),"COMPLETE CLIENT",IF(COUNTIF(Teams!$A$5:$A$104,J403)=0,"TEAM NOT FOUND","OK")),"OK")))</x:f>
      </x:c>
    </x:row>
    <x:row r="404">
      <x:c r="L404" s="100" t="str">
        <x:f>IF(A404="","",IF(B404&lt;&gt;"Active","NOT REQUIRED",IF(COUNTIF('Client Services'!$A$5:$A$1004,A404)=0,"ADD SERVICES","OK")))</x:f>
      </x:c>
      <x:c r="M404" s="100" t="str">
        <x:f>IF(A404="","",IF(B404&lt;&gt;"Active","NOT REQUIRED",IF(COUNTIF(Schedule!$C$5:$C$1204,A404)=0,"UNSCHEDULED",IF(H404="Custom","OK",IF(COUNTIF(Schedule!$C$5:$C$1204,A404)=IF(H404="Weekly",4,IF(H404="Fortnightly",2,1)),"OK","CHECK VISITS")))))</x:f>
      </x:c>
      <x:c r="N404" s="100" t="str">
        <x:f>IF(A404="","",IF(COUNTIF($A$5:$A$404,A404)&gt;1,"DUPLICATE CLIENT",IF(B404="Active",IF(OR(F404="",G404="",H404="",J404=""),"COMPLETE CLIENT",IF(COUNTIF(Teams!$A$5:$A$104,J404)=0,"TEAM NOT FOUND","OK")),"OK")))</x:f>
      </x:c>
    </x:row>
  </x:sheetData>
  <x:mergeCells>
    <x:mergeCell ref="A1:N1"/>
    <x:mergeCell ref="A2:N2"/>
  </x:mergeCells>
  <x:conditionalFormatting sqref="L5:L404">
    <x:cfRule type="expression" dxfId="4" priority="1">
      <x:formula>AND($L5&lt;&gt;"",$L5&lt;&gt;"OK",$L5&lt;&gt;"NOT REQUIRED")</x:formula>
    </x:cfRule>
    <x:cfRule type="expression" dxfId="5" priority="2">
      <x:formula>$L5="OK"</x:formula>
    </x:cfRule>
  </x:conditionalFormatting>
  <x:conditionalFormatting sqref="M5:M404">
    <x:cfRule type="expression" dxfId="6" priority="3">
      <x:formula>AND($M5&lt;&gt;"",$M5&lt;&gt;"OK",$M5&lt;&gt;"NOT REQUIRED")</x:formula>
    </x:cfRule>
    <x:cfRule type="expression" dxfId="7" priority="4">
      <x:formula>$M5="OK"</x:formula>
    </x:cfRule>
  </x:conditionalFormatting>
  <x:conditionalFormatting sqref="N5:N404">
    <x:cfRule type="expression" dxfId="8" priority="5">
      <x:formula>AND($N5&lt;&gt;"",$N5&lt;&gt;"OK",$N5&lt;&gt;"NOT REQUIRED")</x:formula>
    </x:cfRule>
    <x:cfRule type="expression" dxfId="9" priority="6">
      <x:formula>$N5="OK"</x:formula>
    </x:cfRule>
  </x:conditionalFormatting>
  <x:dataValidations count="4">
    <x:dataValidation type="list" sqref="B5:B404">
      <x:formula1>"Active,Suspended,Archived"</x:formula1>
    </x:dataValidation>
    <x:dataValidation type="list" sqref="H5:H404">
      <x:formula1>"Weekly,Fortnightly,Monthly,Custom"</x:formula1>
    </x:dataValidation>
    <x:dataValidation type="list" sqref="I5:I404">
      <x:formula1>"Monday,Tuesday,Wednesday,Thursday,Friday,Saturday"</x:formula1>
    </x:dataValidation>
    <x:dataValidation type="list" sqref="J5:J404">
      <x:formula1>Teams!$A$5:$A$104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0" hidden="0" customWidth="1"/>
    <x:col min="4" max="4" width="24" hidden="0" customWidth="1"/>
  </x:cols>
  <x:sheetData>
    <x:row r="1" ht="28" customHeight="1">
      <x:c r="A1" s="4" t="str">
        <x:v>Client Services</x:v>
      </x:c>
      <x:c r="B1" s="4"/>
      <x:c r="C1" s="4"/>
      <x:c r="D1" s="4"/>
    </x:row>
    <x:row r="2" ht="30" customHeight="1">
      <x:c r="A2" s="9" t="str">
        <x:v>Add one row for every service normally done for a client. Repeat the client name when more than one service applies.</x:v>
      </x:c>
      <x:c r="B2" s="9"/>
      <x:c r="C2" s="9"/>
      <x:c r="D2" s="9"/>
    </x:row>
    <x:row r="4">
      <x:c r="A4" s="94" t="str">
        <x:v>Client</x:v>
      </x:c>
      <x:c r="B4" s="94" t="str">
        <x:v>Service</x:v>
      </x:c>
      <x:c r="C4" s="94" t="str">
        <x:v>Notes</x:v>
      </x:c>
      <x:c r="D4" s="94" t="str">
        <x:v>Check</x:v>
      </x:c>
    </x:row>
    <x:row r="5">
      <x:c r="D5" s="100" t="str">
        <x:f>IF(AND(A5="",B5=""),"",IF(A5="","CLIENT REQUIRED",IF(B5="","SERVICE REQUIRED",IF(COUNTIF(Clients!$A$5:$A$404,A5)=0,"CLIENT NOT FOUND",IF(COUNTIF(Services!$A$5:$A$104,B5)=0,"SERVICE NOT IN SERVICES","OK")))))</x:f>
      </x:c>
    </x:row>
    <x:row r="6">
      <x:c r="D6" s="100" t="str">
        <x:f>IF(AND(A6="",B6=""),"",IF(A6="","CLIENT REQUIRED",IF(B6="","SERVICE REQUIRED",IF(COUNTIF(Clients!$A$5:$A$404,A6)=0,"CLIENT NOT FOUND",IF(COUNTIF(Services!$A$5:$A$104,B6)=0,"SERVICE NOT IN SERVICES","OK")))))</x:f>
      </x:c>
    </x:row>
    <x:row r="7">
      <x:c r="D7" s="100" t="str">
        <x:f>IF(AND(A7="",B7=""),"",IF(A7="","CLIENT REQUIRED",IF(B7="","SERVICE REQUIRED",IF(COUNTIF(Clients!$A$5:$A$404,A7)=0,"CLIENT NOT FOUND",IF(COUNTIF(Services!$A$5:$A$104,B7)=0,"SERVICE NOT IN SERVICES","OK")))))</x:f>
      </x:c>
    </x:row>
    <x:row r="8">
      <x:c r="D8" s="100" t="str">
        <x:f>IF(AND(A8="",B8=""),"",IF(A8="","CLIENT REQUIRED",IF(B8="","SERVICE REQUIRED",IF(COUNTIF(Clients!$A$5:$A$404,A8)=0,"CLIENT NOT FOUND",IF(COUNTIF(Services!$A$5:$A$104,B8)=0,"SERVICE NOT IN SERVICES","OK")))))</x:f>
      </x:c>
    </x:row>
    <x:row r="9">
      <x:c r="D9" s="100" t="str">
        <x:f>IF(AND(A9="",B9=""),"",IF(A9="","CLIENT REQUIRED",IF(B9="","SERVICE REQUIRED",IF(COUNTIF(Clients!$A$5:$A$404,A9)=0,"CLIENT NOT FOUND",IF(COUNTIF(Services!$A$5:$A$104,B9)=0,"SERVICE NOT IN SERVICES","OK")))))</x:f>
      </x:c>
    </x:row>
    <x:row r="10">
      <x:c r="D10" s="100" t="str">
        <x:f>IF(AND(A10="",B10=""),"",IF(A10="","CLIENT REQUIRED",IF(B10="","SERVICE REQUIRED",IF(COUNTIF(Clients!$A$5:$A$404,A10)=0,"CLIENT NOT FOUND",IF(COUNTIF(Services!$A$5:$A$104,B10)=0,"SERVICE NOT IN SERVICES","OK")))))</x:f>
      </x:c>
    </x:row>
    <x:row r="11">
      <x:c r="D11" s="100" t="str">
        <x:f>IF(AND(A11="",B11=""),"",IF(A11="","CLIENT REQUIRED",IF(B11="","SERVICE REQUIRED",IF(COUNTIF(Clients!$A$5:$A$404,A11)=0,"CLIENT NOT FOUND",IF(COUNTIF(Services!$A$5:$A$104,B11)=0,"SERVICE NOT IN SERVICES","OK")))))</x:f>
      </x:c>
    </x:row>
    <x:row r="12">
      <x:c r="D12" s="100" t="str">
        <x:f>IF(AND(A12="",B12=""),"",IF(A12="","CLIENT REQUIRED",IF(B12="","SERVICE REQUIRED",IF(COUNTIF(Clients!$A$5:$A$404,A12)=0,"CLIENT NOT FOUND",IF(COUNTIF(Services!$A$5:$A$104,B12)=0,"SERVICE NOT IN SERVICES","OK")))))</x:f>
      </x:c>
    </x:row>
    <x:row r="13">
      <x:c r="D13" s="100" t="str">
        <x:f>IF(AND(A13="",B13=""),"",IF(A13="","CLIENT REQUIRED",IF(B13="","SERVICE REQUIRED",IF(COUNTIF(Clients!$A$5:$A$404,A13)=0,"CLIENT NOT FOUND",IF(COUNTIF(Services!$A$5:$A$104,B13)=0,"SERVICE NOT IN SERVICES","OK")))))</x:f>
      </x:c>
    </x:row>
    <x:row r="14">
      <x:c r="D14" s="100" t="str">
        <x:f>IF(AND(A14="",B14=""),"",IF(A14="","CLIENT REQUIRED",IF(B14="","SERVICE REQUIRED",IF(COUNTIF(Clients!$A$5:$A$404,A14)=0,"CLIENT NOT FOUND",IF(COUNTIF(Services!$A$5:$A$104,B14)=0,"SERVICE NOT IN SERVICES","OK")))))</x:f>
      </x:c>
    </x:row>
    <x:row r="15">
      <x:c r="D15" s="100" t="str">
        <x:f>IF(AND(A15="",B15=""),"",IF(A15="","CLIENT REQUIRED",IF(B15="","SERVICE REQUIRED",IF(COUNTIF(Clients!$A$5:$A$404,A15)=0,"CLIENT NOT FOUND",IF(COUNTIF(Services!$A$5:$A$104,B15)=0,"SERVICE NOT IN SERVICES","OK")))))</x:f>
      </x:c>
    </x:row>
    <x:row r="16">
      <x:c r="D16" s="100" t="str">
        <x:f>IF(AND(A16="",B16=""),"",IF(A16="","CLIENT REQUIRED",IF(B16="","SERVICE REQUIRED",IF(COUNTIF(Clients!$A$5:$A$404,A16)=0,"CLIENT NOT FOUND",IF(COUNTIF(Services!$A$5:$A$104,B16)=0,"SERVICE NOT IN SERVICES","OK")))))</x:f>
      </x:c>
    </x:row>
    <x:row r="17">
      <x:c r="D17" s="100" t="str">
        <x:f>IF(AND(A17="",B17=""),"",IF(A17="","CLIENT REQUIRED",IF(B17="","SERVICE REQUIRED",IF(COUNTIF(Clients!$A$5:$A$404,A17)=0,"CLIENT NOT FOUND",IF(COUNTIF(Services!$A$5:$A$104,B17)=0,"SERVICE NOT IN SERVICES","OK")))))</x:f>
      </x:c>
    </x:row>
    <x:row r="18">
      <x:c r="D18" s="100" t="str">
        <x:f>IF(AND(A18="",B18=""),"",IF(A18="","CLIENT REQUIRED",IF(B18="","SERVICE REQUIRED",IF(COUNTIF(Clients!$A$5:$A$404,A18)=0,"CLIENT NOT FOUND",IF(COUNTIF(Services!$A$5:$A$104,B18)=0,"SERVICE NOT IN SERVICES","OK")))))</x:f>
      </x:c>
    </x:row>
    <x:row r="19">
      <x:c r="D19" s="100" t="str">
        <x:f>IF(AND(A19="",B19=""),"",IF(A19="","CLIENT REQUIRED",IF(B19="","SERVICE REQUIRED",IF(COUNTIF(Clients!$A$5:$A$404,A19)=0,"CLIENT NOT FOUND",IF(COUNTIF(Services!$A$5:$A$104,B19)=0,"SERVICE NOT IN SERVICES","OK")))))</x:f>
      </x:c>
    </x:row>
    <x:row r="20">
      <x:c r="D20" s="100" t="str">
        <x:f>IF(AND(A20="",B20=""),"",IF(A20="","CLIENT REQUIRED",IF(B20="","SERVICE REQUIRED",IF(COUNTIF(Clients!$A$5:$A$404,A20)=0,"CLIENT NOT FOUND",IF(COUNTIF(Services!$A$5:$A$104,B20)=0,"SERVICE NOT IN SERVICES","OK")))))</x:f>
      </x:c>
    </x:row>
    <x:row r="21">
      <x:c r="D21" s="100" t="str">
        <x:f>IF(AND(A21="",B21=""),"",IF(A21="","CLIENT REQUIRED",IF(B21="","SERVICE REQUIRED",IF(COUNTIF(Clients!$A$5:$A$404,A21)=0,"CLIENT NOT FOUND",IF(COUNTIF(Services!$A$5:$A$104,B21)=0,"SERVICE NOT IN SERVICES","OK")))))</x:f>
      </x:c>
    </x:row>
    <x:row r="22">
      <x:c r="D22" s="100" t="str">
        <x:f>IF(AND(A22="",B22=""),"",IF(A22="","CLIENT REQUIRED",IF(B22="","SERVICE REQUIRED",IF(COUNTIF(Clients!$A$5:$A$404,A22)=0,"CLIENT NOT FOUND",IF(COUNTIF(Services!$A$5:$A$104,B22)=0,"SERVICE NOT IN SERVICES","OK")))))</x:f>
      </x:c>
    </x:row>
    <x:row r="23">
      <x:c r="D23" s="100" t="str">
        <x:f>IF(AND(A23="",B23=""),"",IF(A23="","CLIENT REQUIRED",IF(B23="","SERVICE REQUIRED",IF(COUNTIF(Clients!$A$5:$A$404,A23)=0,"CLIENT NOT FOUND",IF(COUNTIF(Services!$A$5:$A$104,B23)=0,"SERVICE NOT IN SERVICES","OK")))))</x:f>
      </x:c>
    </x:row>
    <x:row r="24">
      <x:c r="D24" s="100" t="str">
        <x:f>IF(AND(A24="",B24=""),"",IF(A24="","CLIENT REQUIRED",IF(B24="","SERVICE REQUIRED",IF(COUNTIF(Clients!$A$5:$A$404,A24)=0,"CLIENT NOT FOUND",IF(COUNTIF(Services!$A$5:$A$104,B24)=0,"SERVICE NOT IN SERVICES","OK")))))</x:f>
      </x:c>
    </x:row>
    <x:row r="25">
      <x:c r="D25" s="100" t="str">
        <x:f>IF(AND(A25="",B25=""),"",IF(A25="","CLIENT REQUIRED",IF(B25="","SERVICE REQUIRED",IF(COUNTIF(Clients!$A$5:$A$404,A25)=0,"CLIENT NOT FOUND",IF(COUNTIF(Services!$A$5:$A$104,B25)=0,"SERVICE NOT IN SERVICES","OK")))))</x:f>
      </x:c>
    </x:row>
    <x:row r="26">
      <x:c r="D26" s="100" t="str">
        <x:f>IF(AND(A26="",B26=""),"",IF(A26="","CLIENT REQUIRED",IF(B26="","SERVICE REQUIRED",IF(COUNTIF(Clients!$A$5:$A$404,A26)=0,"CLIENT NOT FOUND",IF(COUNTIF(Services!$A$5:$A$104,B26)=0,"SERVICE NOT IN SERVICES","OK")))))</x:f>
      </x:c>
    </x:row>
    <x:row r="27">
      <x:c r="D27" s="100" t="str">
        <x:f>IF(AND(A27="",B27=""),"",IF(A27="","CLIENT REQUIRED",IF(B27="","SERVICE REQUIRED",IF(COUNTIF(Clients!$A$5:$A$404,A27)=0,"CLIENT NOT FOUND",IF(COUNTIF(Services!$A$5:$A$104,B27)=0,"SERVICE NOT IN SERVICES","OK")))))</x:f>
      </x:c>
    </x:row>
    <x:row r="28">
      <x:c r="D28" s="100" t="str">
        <x:f>IF(AND(A28="",B28=""),"",IF(A28="","CLIENT REQUIRED",IF(B28="","SERVICE REQUIRED",IF(COUNTIF(Clients!$A$5:$A$404,A28)=0,"CLIENT NOT FOUND",IF(COUNTIF(Services!$A$5:$A$104,B28)=0,"SERVICE NOT IN SERVICES","OK")))))</x:f>
      </x:c>
    </x:row>
    <x:row r="29">
      <x:c r="D29" s="100" t="str">
        <x:f>IF(AND(A29="",B29=""),"",IF(A29="","CLIENT REQUIRED",IF(B29="","SERVICE REQUIRED",IF(COUNTIF(Clients!$A$5:$A$404,A29)=0,"CLIENT NOT FOUND",IF(COUNTIF(Services!$A$5:$A$104,B29)=0,"SERVICE NOT IN SERVICES","OK")))))</x:f>
      </x:c>
    </x:row>
    <x:row r="30">
      <x:c r="D30" s="100" t="str">
        <x:f>IF(AND(A30="",B30=""),"",IF(A30="","CLIENT REQUIRED",IF(B30="","SERVICE REQUIRED",IF(COUNTIF(Clients!$A$5:$A$404,A30)=0,"CLIENT NOT FOUND",IF(COUNTIF(Services!$A$5:$A$104,B30)=0,"SERVICE NOT IN SERVICES","OK")))))</x:f>
      </x:c>
    </x:row>
    <x:row r="31">
      <x:c r="D31" s="100" t="str">
        <x:f>IF(AND(A31="",B31=""),"",IF(A31="","CLIENT REQUIRED",IF(B31="","SERVICE REQUIRED",IF(COUNTIF(Clients!$A$5:$A$404,A31)=0,"CLIENT NOT FOUND",IF(COUNTIF(Services!$A$5:$A$104,B31)=0,"SERVICE NOT IN SERVICES","OK")))))</x:f>
      </x:c>
    </x:row>
    <x:row r="32">
      <x:c r="D32" s="100" t="str">
        <x:f>IF(AND(A32="",B32=""),"",IF(A32="","CLIENT REQUIRED",IF(B32="","SERVICE REQUIRED",IF(COUNTIF(Clients!$A$5:$A$404,A32)=0,"CLIENT NOT FOUND",IF(COUNTIF(Services!$A$5:$A$104,B32)=0,"SERVICE NOT IN SERVICES","OK")))))</x:f>
      </x:c>
    </x:row>
    <x:row r="33">
      <x:c r="D33" s="100" t="str">
        <x:f>IF(AND(A33="",B33=""),"",IF(A33="","CLIENT REQUIRED",IF(B33="","SERVICE REQUIRED",IF(COUNTIF(Clients!$A$5:$A$404,A33)=0,"CLIENT NOT FOUND",IF(COUNTIF(Services!$A$5:$A$104,B33)=0,"SERVICE NOT IN SERVICES","OK")))))</x:f>
      </x:c>
    </x:row>
    <x:row r="34">
      <x:c r="D34" s="100" t="str">
        <x:f>IF(AND(A34="",B34=""),"",IF(A34="","CLIENT REQUIRED",IF(B34="","SERVICE REQUIRED",IF(COUNTIF(Clients!$A$5:$A$404,A34)=0,"CLIENT NOT FOUND",IF(COUNTIF(Services!$A$5:$A$104,B34)=0,"SERVICE NOT IN SERVICES","OK")))))</x:f>
      </x:c>
    </x:row>
    <x:row r="35">
      <x:c r="D35" s="100" t="str">
        <x:f>IF(AND(A35="",B35=""),"",IF(A35="","CLIENT REQUIRED",IF(B35="","SERVICE REQUIRED",IF(COUNTIF(Clients!$A$5:$A$404,A35)=0,"CLIENT NOT FOUND",IF(COUNTIF(Services!$A$5:$A$104,B35)=0,"SERVICE NOT IN SERVICES","OK")))))</x:f>
      </x:c>
    </x:row>
    <x:row r="36">
      <x:c r="D36" s="100" t="str">
        <x:f>IF(AND(A36="",B36=""),"",IF(A36="","CLIENT REQUIRED",IF(B36="","SERVICE REQUIRED",IF(COUNTIF(Clients!$A$5:$A$404,A36)=0,"CLIENT NOT FOUND",IF(COUNTIF(Services!$A$5:$A$104,B36)=0,"SERVICE NOT IN SERVICES","OK")))))</x:f>
      </x:c>
    </x:row>
    <x:row r="37">
      <x:c r="D37" s="100" t="str">
        <x:f>IF(AND(A37="",B37=""),"",IF(A37="","CLIENT REQUIRED",IF(B37="","SERVICE REQUIRED",IF(COUNTIF(Clients!$A$5:$A$404,A37)=0,"CLIENT NOT FOUND",IF(COUNTIF(Services!$A$5:$A$104,B37)=0,"SERVICE NOT IN SERVICES","OK")))))</x:f>
      </x:c>
    </x:row>
    <x:row r="38">
      <x:c r="D38" s="100" t="str">
        <x:f>IF(AND(A38="",B38=""),"",IF(A38="","CLIENT REQUIRED",IF(B38="","SERVICE REQUIRED",IF(COUNTIF(Clients!$A$5:$A$404,A38)=0,"CLIENT NOT FOUND",IF(COUNTIF(Services!$A$5:$A$104,B38)=0,"SERVICE NOT IN SERVICES","OK")))))</x:f>
      </x:c>
    </x:row>
    <x:row r="39">
      <x:c r="D39" s="100" t="str">
        <x:f>IF(AND(A39="",B39=""),"",IF(A39="","CLIENT REQUIRED",IF(B39="","SERVICE REQUIRED",IF(COUNTIF(Clients!$A$5:$A$404,A39)=0,"CLIENT NOT FOUND",IF(COUNTIF(Services!$A$5:$A$104,B39)=0,"SERVICE NOT IN SERVICES","OK")))))</x:f>
      </x:c>
    </x:row>
    <x:row r="40">
      <x:c r="D40" s="100" t="str">
        <x:f>IF(AND(A40="",B40=""),"",IF(A40="","CLIENT REQUIRED",IF(B40="","SERVICE REQUIRED",IF(COUNTIF(Clients!$A$5:$A$404,A40)=0,"CLIENT NOT FOUND",IF(COUNTIF(Services!$A$5:$A$104,B40)=0,"SERVICE NOT IN SERVICES","OK")))))</x:f>
      </x:c>
    </x:row>
    <x:row r="41">
      <x:c r="D41" s="100" t="str">
        <x:f>IF(AND(A41="",B41=""),"",IF(A41="","CLIENT REQUIRED",IF(B41="","SERVICE REQUIRED",IF(COUNTIF(Clients!$A$5:$A$404,A41)=0,"CLIENT NOT FOUND",IF(COUNTIF(Services!$A$5:$A$104,B41)=0,"SERVICE NOT IN SERVICES","OK")))))</x:f>
      </x:c>
    </x:row>
    <x:row r="42">
      <x:c r="D42" s="100" t="str">
        <x:f>IF(AND(A42="",B42=""),"",IF(A42="","CLIENT REQUIRED",IF(B42="","SERVICE REQUIRED",IF(COUNTIF(Clients!$A$5:$A$404,A42)=0,"CLIENT NOT FOUND",IF(COUNTIF(Services!$A$5:$A$104,B42)=0,"SERVICE NOT IN SERVICES","OK")))))</x:f>
      </x:c>
    </x:row>
    <x:row r="43">
      <x:c r="D43" s="100" t="str">
        <x:f>IF(AND(A43="",B43=""),"",IF(A43="","CLIENT REQUIRED",IF(B43="","SERVICE REQUIRED",IF(COUNTIF(Clients!$A$5:$A$404,A43)=0,"CLIENT NOT FOUND",IF(COUNTIF(Services!$A$5:$A$104,B43)=0,"SERVICE NOT IN SERVICES","OK")))))</x:f>
      </x:c>
    </x:row>
    <x:row r="44">
      <x:c r="D44" s="100" t="str">
        <x:f>IF(AND(A44="",B44=""),"",IF(A44="","CLIENT REQUIRED",IF(B44="","SERVICE REQUIRED",IF(COUNTIF(Clients!$A$5:$A$404,A44)=0,"CLIENT NOT FOUND",IF(COUNTIF(Services!$A$5:$A$104,B44)=0,"SERVICE NOT IN SERVICES","OK")))))</x:f>
      </x:c>
    </x:row>
    <x:row r="45">
      <x:c r="D45" s="100" t="str">
        <x:f>IF(AND(A45="",B45=""),"",IF(A45="","CLIENT REQUIRED",IF(B45="","SERVICE REQUIRED",IF(COUNTIF(Clients!$A$5:$A$404,A45)=0,"CLIENT NOT FOUND",IF(COUNTIF(Services!$A$5:$A$104,B45)=0,"SERVICE NOT IN SERVICES","OK")))))</x:f>
      </x:c>
    </x:row>
    <x:row r="46">
      <x:c r="D46" s="100" t="str">
        <x:f>IF(AND(A46="",B46=""),"",IF(A46="","CLIENT REQUIRED",IF(B46="","SERVICE REQUIRED",IF(COUNTIF(Clients!$A$5:$A$404,A46)=0,"CLIENT NOT FOUND",IF(COUNTIF(Services!$A$5:$A$104,B46)=0,"SERVICE NOT IN SERVICES","OK")))))</x:f>
      </x:c>
    </x:row>
    <x:row r="47">
      <x:c r="D47" s="100" t="str">
        <x:f>IF(AND(A47="",B47=""),"",IF(A47="","CLIENT REQUIRED",IF(B47="","SERVICE REQUIRED",IF(COUNTIF(Clients!$A$5:$A$404,A47)=0,"CLIENT NOT FOUND",IF(COUNTIF(Services!$A$5:$A$104,B47)=0,"SERVICE NOT IN SERVICES","OK")))))</x:f>
      </x:c>
    </x:row>
    <x:row r="48">
      <x:c r="D48" s="100" t="str">
        <x:f>IF(AND(A48="",B48=""),"",IF(A48="","CLIENT REQUIRED",IF(B48="","SERVICE REQUIRED",IF(COUNTIF(Clients!$A$5:$A$404,A48)=0,"CLIENT NOT FOUND",IF(COUNTIF(Services!$A$5:$A$104,B48)=0,"SERVICE NOT IN SERVICES","OK")))))</x:f>
      </x:c>
    </x:row>
    <x:row r="49">
      <x:c r="D49" s="100" t="str">
        <x:f>IF(AND(A49="",B49=""),"",IF(A49="","CLIENT REQUIRED",IF(B49="","SERVICE REQUIRED",IF(COUNTIF(Clients!$A$5:$A$404,A49)=0,"CLIENT NOT FOUND",IF(COUNTIF(Services!$A$5:$A$104,B49)=0,"SERVICE NOT IN SERVICES","OK")))))</x:f>
      </x:c>
    </x:row>
    <x:row r="50">
      <x:c r="D50" s="100" t="str">
        <x:f>IF(AND(A50="",B50=""),"",IF(A50="","CLIENT REQUIRED",IF(B50="","SERVICE REQUIRED",IF(COUNTIF(Clients!$A$5:$A$404,A50)=0,"CLIENT NOT FOUND",IF(COUNTIF(Services!$A$5:$A$104,B50)=0,"SERVICE NOT IN SERVICES","OK")))))</x:f>
      </x:c>
    </x:row>
    <x:row r="51">
      <x:c r="D51" s="100" t="str">
        <x:f>IF(AND(A51="",B51=""),"",IF(A51="","CLIENT REQUIRED",IF(B51="","SERVICE REQUIRED",IF(COUNTIF(Clients!$A$5:$A$404,A51)=0,"CLIENT NOT FOUND",IF(COUNTIF(Services!$A$5:$A$104,B51)=0,"SERVICE NOT IN SERVICES","OK")))))</x:f>
      </x:c>
    </x:row>
    <x:row r="52">
      <x:c r="D52" s="100" t="str">
        <x:f>IF(AND(A52="",B52=""),"",IF(A52="","CLIENT REQUIRED",IF(B52="","SERVICE REQUIRED",IF(COUNTIF(Clients!$A$5:$A$404,A52)=0,"CLIENT NOT FOUND",IF(COUNTIF(Services!$A$5:$A$104,B52)=0,"SERVICE NOT IN SERVICES","OK")))))</x:f>
      </x:c>
    </x:row>
    <x:row r="53">
      <x:c r="D53" s="100" t="str">
        <x:f>IF(AND(A53="",B53=""),"",IF(A53="","CLIENT REQUIRED",IF(B53="","SERVICE REQUIRED",IF(COUNTIF(Clients!$A$5:$A$404,A53)=0,"CLIENT NOT FOUND",IF(COUNTIF(Services!$A$5:$A$104,B53)=0,"SERVICE NOT IN SERVICES","OK")))))</x:f>
      </x:c>
    </x:row>
    <x:row r="54">
      <x:c r="D54" s="100" t="str">
        <x:f>IF(AND(A54="",B54=""),"",IF(A54="","CLIENT REQUIRED",IF(B54="","SERVICE REQUIRED",IF(COUNTIF(Clients!$A$5:$A$404,A54)=0,"CLIENT NOT FOUND",IF(COUNTIF(Services!$A$5:$A$104,B54)=0,"SERVICE NOT IN SERVICES","OK")))))</x:f>
      </x:c>
    </x:row>
    <x:row r="55">
      <x:c r="D55" s="100" t="str">
        <x:f>IF(AND(A55="",B55=""),"",IF(A55="","CLIENT REQUIRED",IF(B55="","SERVICE REQUIRED",IF(COUNTIF(Clients!$A$5:$A$404,A55)=0,"CLIENT NOT FOUND",IF(COUNTIF(Services!$A$5:$A$104,B55)=0,"SERVICE NOT IN SERVICES","OK")))))</x:f>
      </x:c>
    </x:row>
    <x:row r="56">
      <x:c r="D56" s="100" t="str">
        <x:f>IF(AND(A56="",B56=""),"",IF(A56="","CLIENT REQUIRED",IF(B56="","SERVICE REQUIRED",IF(COUNTIF(Clients!$A$5:$A$404,A56)=0,"CLIENT NOT FOUND",IF(COUNTIF(Services!$A$5:$A$104,B56)=0,"SERVICE NOT IN SERVICES","OK")))))</x:f>
      </x:c>
    </x:row>
    <x:row r="57">
      <x:c r="D57" s="100" t="str">
        <x:f>IF(AND(A57="",B57=""),"",IF(A57="","CLIENT REQUIRED",IF(B57="","SERVICE REQUIRED",IF(COUNTIF(Clients!$A$5:$A$404,A57)=0,"CLIENT NOT FOUND",IF(COUNTIF(Services!$A$5:$A$104,B57)=0,"SERVICE NOT IN SERVICES","OK")))))</x:f>
      </x:c>
    </x:row>
    <x:row r="58">
      <x:c r="D58" s="100" t="str">
        <x:f>IF(AND(A58="",B58=""),"",IF(A58="","CLIENT REQUIRED",IF(B58="","SERVICE REQUIRED",IF(COUNTIF(Clients!$A$5:$A$404,A58)=0,"CLIENT NOT FOUND",IF(COUNTIF(Services!$A$5:$A$104,B58)=0,"SERVICE NOT IN SERVICES","OK")))))</x:f>
      </x:c>
    </x:row>
    <x:row r="59">
      <x:c r="D59" s="100" t="str">
        <x:f>IF(AND(A59="",B59=""),"",IF(A59="","CLIENT REQUIRED",IF(B59="","SERVICE REQUIRED",IF(COUNTIF(Clients!$A$5:$A$404,A59)=0,"CLIENT NOT FOUND",IF(COUNTIF(Services!$A$5:$A$104,B59)=0,"SERVICE NOT IN SERVICES","OK")))))</x:f>
      </x:c>
    </x:row>
    <x:row r="60">
      <x:c r="D60" s="100" t="str">
        <x:f>IF(AND(A60="",B60=""),"",IF(A60="","CLIENT REQUIRED",IF(B60="","SERVICE REQUIRED",IF(COUNTIF(Clients!$A$5:$A$404,A60)=0,"CLIENT NOT FOUND",IF(COUNTIF(Services!$A$5:$A$104,B60)=0,"SERVICE NOT IN SERVICES","OK")))))</x:f>
      </x:c>
    </x:row>
    <x:row r="61">
      <x:c r="D61" s="100" t="str">
        <x:f>IF(AND(A61="",B61=""),"",IF(A61="","CLIENT REQUIRED",IF(B61="","SERVICE REQUIRED",IF(COUNTIF(Clients!$A$5:$A$404,A61)=0,"CLIENT NOT FOUND",IF(COUNTIF(Services!$A$5:$A$104,B61)=0,"SERVICE NOT IN SERVICES","OK")))))</x:f>
      </x:c>
    </x:row>
    <x:row r="62">
      <x:c r="D62" s="100" t="str">
        <x:f>IF(AND(A62="",B62=""),"",IF(A62="","CLIENT REQUIRED",IF(B62="","SERVICE REQUIRED",IF(COUNTIF(Clients!$A$5:$A$404,A62)=0,"CLIENT NOT FOUND",IF(COUNTIF(Services!$A$5:$A$104,B62)=0,"SERVICE NOT IN SERVICES","OK")))))</x:f>
      </x:c>
    </x:row>
    <x:row r="63">
      <x:c r="D63" s="100" t="str">
        <x:f>IF(AND(A63="",B63=""),"",IF(A63="","CLIENT REQUIRED",IF(B63="","SERVICE REQUIRED",IF(COUNTIF(Clients!$A$5:$A$404,A63)=0,"CLIENT NOT FOUND",IF(COUNTIF(Services!$A$5:$A$104,B63)=0,"SERVICE NOT IN SERVICES","OK")))))</x:f>
      </x:c>
    </x:row>
    <x:row r="64">
      <x:c r="D64" s="100" t="str">
        <x:f>IF(AND(A64="",B64=""),"",IF(A64="","CLIENT REQUIRED",IF(B64="","SERVICE REQUIRED",IF(COUNTIF(Clients!$A$5:$A$404,A64)=0,"CLIENT NOT FOUND",IF(COUNTIF(Services!$A$5:$A$104,B64)=0,"SERVICE NOT IN SERVICES","OK")))))</x:f>
      </x:c>
    </x:row>
    <x:row r="65">
      <x:c r="D65" s="100" t="str">
        <x:f>IF(AND(A65="",B65=""),"",IF(A65="","CLIENT REQUIRED",IF(B65="","SERVICE REQUIRED",IF(COUNTIF(Clients!$A$5:$A$404,A65)=0,"CLIENT NOT FOUND",IF(COUNTIF(Services!$A$5:$A$104,B65)=0,"SERVICE NOT IN SERVICES","OK")))))</x:f>
      </x:c>
    </x:row>
    <x:row r="66">
      <x:c r="D66" s="100" t="str">
        <x:f>IF(AND(A66="",B66=""),"",IF(A66="","CLIENT REQUIRED",IF(B66="","SERVICE REQUIRED",IF(COUNTIF(Clients!$A$5:$A$404,A66)=0,"CLIENT NOT FOUND",IF(COUNTIF(Services!$A$5:$A$104,B66)=0,"SERVICE NOT IN SERVICES","OK")))))</x:f>
      </x:c>
    </x:row>
    <x:row r="67">
      <x:c r="D67" s="100" t="str">
        <x:f>IF(AND(A67="",B67=""),"",IF(A67="","CLIENT REQUIRED",IF(B67="","SERVICE REQUIRED",IF(COUNTIF(Clients!$A$5:$A$404,A67)=0,"CLIENT NOT FOUND",IF(COUNTIF(Services!$A$5:$A$104,B67)=0,"SERVICE NOT IN SERVICES","OK")))))</x:f>
      </x:c>
    </x:row>
    <x:row r="68">
      <x:c r="D68" s="100" t="str">
        <x:f>IF(AND(A68="",B68=""),"",IF(A68="","CLIENT REQUIRED",IF(B68="","SERVICE REQUIRED",IF(COUNTIF(Clients!$A$5:$A$404,A68)=0,"CLIENT NOT FOUND",IF(COUNTIF(Services!$A$5:$A$104,B68)=0,"SERVICE NOT IN SERVICES","OK")))))</x:f>
      </x:c>
    </x:row>
    <x:row r="69">
      <x:c r="D69" s="100" t="str">
        <x:f>IF(AND(A69="",B69=""),"",IF(A69="","CLIENT REQUIRED",IF(B69="","SERVICE REQUIRED",IF(COUNTIF(Clients!$A$5:$A$404,A69)=0,"CLIENT NOT FOUND",IF(COUNTIF(Services!$A$5:$A$104,B69)=0,"SERVICE NOT IN SERVICES","OK")))))</x:f>
      </x:c>
    </x:row>
    <x:row r="70">
      <x:c r="D70" s="100" t="str">
        <x:f>IF(AND(A70="",B70=""),"",IF(A70="","CLIENT REQUIRED",IF(B70="","SERVICE REQUIRED",IF(COUNTIF(Clients!$A$5:$A$404,A70)=0,"CLIENT NOT FOUND",IF(COUNTIF(Services!$A$5:$A$104,B70)=0,"SERVICE NOT IN SERVICES","OK")))))</x:f>
      </x:c>
    </x:row>
    <x:row r="71">
      <x:c r="D71" s="100" t="str">
        <x:f>IF(AND(A71="",B71=""),"",IF(A71="","CLIENT REQUIRED",IF(B71="","SERVICE REQUIRED",IF(COUNTIF(Clients!$A$5:$A$404,A71)=0,"CLIENT NOT FOUND",IF(COUNTIF(Services!$A$5:$A$104,B71)=0,"SERVICE NOT IN SERVICES","OK")))))</x:f>
      </x:c>
    </x:row>
    <x:row r="72">
      <x:c r="D72" s="100" t="str">
        <x:f>IF(AND(A72="",B72=""),"",IF(A72="","CLIENT REQUIRED",IF(B72="","SERVICE REQUIRED",IF(COUNTIF(Clients!$A$5:$A$404,A72)=0,"CLIENT NOT FOUND",IF(COUNTIF(Services!$A$5:$A$104,B72)=0,"SERVICE NOT IN SERVICES","OK")))))</x:f>
      </x:c>
    </x:row>
    <x:row r="73">
      <x:c r="D73" s="100" t="str">
        <x:f>IF(AND(A73="",B73=""),"",IF(A73="","CLIENT REQUIRED",IF(B73="","SERVICE REQUIRED",IF(COUNTIF(Clients!$A$5:$A$404,A73)=0,"CLIENT NOT FOUND",IF(COUNTIF(Services!$A$5:$A$104,B73)=0,"SERVICE NOT IN SERVICES","OK")))))</x:f>
      </x:c>
    </x:row>
    <x:row r="74">
      <x:c r="D74" s="100" t="str">
        <x:f>IF(AND(A74="",B74=""),"",IF(A74="","CLIENT REQUIRED",IF(B74="","SERVICE REQUIRED",IF(COUNTIF(Clients!$A$5:$A$404,A74)=0,"CLIENT NOT FOUND",IF(COUNTIF(Services!$A$5:$A$104,B74)=0,"SERVICE NOT IN SERVICES","OK")))))</x:f>
      </x:c>
    </x:row>
    <x:row r="75">
      <x:c r="D75" s="100" t="str">
        <x:f>IF(AND(A75="",B75=""),"",IF(A75="","CLIENT REQUIRED",IF(B75="","SERVICE REQUIRED",IF(COUNTIF(Clients!$A$5:$A$404,A75)=0,"CLIENT NOT FOUND",IF(COUNTIF(Services!$A$5:$A$104,B75)=0,"SERVICE NOT IN SERVICES","OK")))))</x:f>
      </x:c>
    </x:row>
    <x:row r="76">
      <x:c r="D76" s="100" t="str">
        <x:f>IF(AND(A76="",B76=""),"",IF(A76="","CLIENT REQUIRED",IF(B76="","SERVICE REQUIRED",IF(COUNTIF(Clients!$A$5:$A$404,A76)=0,"CLIENT NOT FOUND",IF(COUNTIF(Services!$A$5:$A$104,B76)=0,"SERVICE NOT IN SERVICES","OK")))))</x:f>
      </x:c>
    </x:row>
    <x:row r="77">
      <x:c r="D77" s="100" t="str">
        <x:f>IF(AND(A77="",B77=""),"",IF(A77="","CLIENT REQUIRED",IF(B77="","SERVICE REQUIRED",IF(COUNTIF(Clients!$A$5:$A$404,A77)=0,"CLIENT NOT FOUND",IF(COUNTIF(Services!$A$5:$A$104,B77)=0,"SERVICE NOT IN SERVICES","OK")))))</x:f>
      </x:c>
    </x:row>
    <x:row r="78">
      <x:c r="D78" s="100" t="str">
        <x:f>IF(AND(A78="",B78=""),"",IF(A78="","CLIENT REQUIRED",IF(B78="","SERVICE REQUIRED",IF(COUNTIF(Clients!$A$5:$A$404,A78)=0,"CLIENT NOT FOUND",IF(COUNTIF(Services!$A$5:$A$104,B78)=0,"SERVICE NOT IN SERVICES","OK")))))</x:f>
      </x:c>
    </x:row>
    <x:row r="79">
      <x:c r="D79" s="100" t="str">
        <x:f>IF(AND(A79="",B79=""),"",IF(A79="","CLIENT REQUIRED",IF(B79="","SERVICE REQUIRED",IF(COUNTIF(Clients!$A$5:$A$404,A79)=0,"CLIENT NOT FOUND",IF(COUNTIF(Services!$A$5:$A$104,B79)=0,"SERVICE NOT IN SERVICES","OK")))))</x:f>
      </x:c>
    </x:row>
    <x:row r="80">
      <x:c r="D80" s="100" t="str">
        <x:f>IF(AND(A80="",B80=""),"",IF(A80="","CLIENT REQUIRED",IF(B80="","SERVICE REQUIRED",IF(COUNTIF(Clients!$A$5:$A$404,A80)=0,"CLIENT NOT FOUND",IF(COUNTIF(Services!$A$5:$A$104,B80)=0,"SERVICE NOT IN SERVICES","OK")))))</x:f>
      </x:c>
    </x:row>
    <x:row r="81">
      <x:c r="D81" s="100" t="str">
        <x:f>IF(AND(A81="",B81=""),"",IF(A81="","CLIENT REQUIRED",IF(B81="","SERVICE REQUIRED",IF(COUNTIF(Clients!$A$5:$A$404,A81)=0,"CLIENT NOT FOUND",IF(COUNTIF(Services!$A$5:$A$104,B81)=0,"SERVICE NOT IN SERVICES","OK")))))</x:f>
      </x:c>
    </x:row>
    <x:row r="82">
      <x:c r="D82" s="100" t="str">
        <x:f>IF(AND(A82="",B82=""),"",IF(A82="","CLIENT REQUIRED",IF(B82="","SERVICE REQUIRED",IF(COUNTIF(Clients!$A$5:$A$404,A82)=0,"CLIENT NOT FOUND",IF(COUNTIF(Services!$A$5:$A$104,B82)=0,"SERVICE NOT IN SERVICES","OK")))))</x:f>
      </x:c>
    </x:row>
    <x:row r="83">
      <x:c r="D83" s="100" t="str">
        <x:f>IF(AND(A83="",B83=""),"",IF(A83="","CLIENT REQUIRED",IF(B83="","SERVICE REQUIRED",IF(COUNTIF(Clients!$A$5:$A$404,A83)=0,"CLIENT NOT FOUND",IF(COUNTIF(Services!$A$5:$A$104,B83)=0,"SERVICE NOT IN SERVICES","OK")))))</x:f>
      </x:c>
    </x:row>
    <x:row r="84">
      <x:c r="D84" s="100" t="str">
        <x:f>IF(AND(A84="",B84=""),"",IF(A84="","CLIENT REQUIRED",IF(B84="","SERVICE REQUIRED",IF(COUNTIF(Clients!$A$5:$A$404,A84)=0,"CLIENT NOT FOUND",IF(COUNTIF(Services!$A$5:$A$104,B84)=0,"SERVICE NOT IN SERVICES","OK")))))</x:f>
      </x:c>
    </x:row>
    <x:row r="85">
      <x:c r="D85" s="100" t="str">
        <x:f>IF(AND(A85="",B85=""),"",IF(A85="","CLIENT REQUIRED",IF(B85="","SERVICE REQUIRED",IF(COUNTIF(Clients!$A$5:$A$404,A85)=0,"CLIENT NOT FOUND",IF(COUNTIF(Services!$A$5:$A$104,B85)=0,"SERVICE NOT IN SERVICES","OK")))))</x:f>
      </x:c>
    </x:row>
    <x:row r="86">
      <x:c r="D86" s="100" t="str">
        <x:f>IF(AND(A86="",B86=""),"",IF(A86="","CLIENT REQUIRED",IF(B86="","SERVICE REQUIRED",IF(COUNTIF(Clients!$A$5:$A$404,A86)=0,"CLIENT NOT FOUND",IF(COUNTIF(Services!$A$5:$A$104,B86)=0,"SERVICE NOT IN SERVICES","OK")))))</x:f>
      </x:c>
    </x:row>
    <x:row r="87">
      <x:c r="D87" s="100" t="str">
        <x:f>IF(AND(A87="",B87=""),"",IF(A87="","CLIENT REQUIRED",IF(B87="","SERVICE REQUIRED",IF(COUNTIF(Clients!$A$5:$A$404,A87)=0,"CLIENT NOT FOUND",IF(COUNTIF(Services!$A$5:$A$104,B87)=0,"SERVICE NOT IN SERVICES","OK")))))</x:f>
      </x:c>
    </x:row>
    <x:row r="88">
      <x:c r="D88" s="100" t="str">
        <x:f>IF(AND(A88="",B88=""),"",IF(A88="","CLIENT REQUIRED",IF(B88="","SERVICE REQUIRED",IF(COUNTIF(Clients!$A$5:$A$404,A88)=0,"CLIENT NOT FOUND",IF(COUNTIF(Services!$A$5:$A$104,B88)=0,"SERVICE NOT IN SERVICES","OK")))))</x:f>
      </x:c>
    </x:row>
    <x:row r="89">
      <x:c r="D89" s="100" t="str">
        <x:f>IF(AND(A89="",B89=""),"",IF(A89="","CLIENT REQUIRED",IF(B89="","SERVICE REQUIRED",IF(COUNTIF(Clients!$A$5:$A$404,A89)=0,"CLIENT NOT FOUND",IF(COUNTIF(Services!$A$5:$A$104,B89)=0,"SERVICE NOT IN SERVICES","OK")))))</x:f>
      </x:c>
    </x:row>
    <x:row r="90">
      <x:c r="D90" s="100" t="str">
        <x:f>IF(AND(A90="",B90=""),"",IF(A90="","CLIENT REQUIRED",IF(B90="","SERVICE REQUIRED",IF(COUNTIF(Clients!$A$5:$A$404,A90)=0,"CLIENT NOT FOUND",IF(COUNTIF(Services!$A$5:$A$104,B90)=0,"SERVICE NOT IN SERVICES","OK")))))</x:f>
      </x:c>
    </x:row>
    <x:row r="91">
      <x:c r="D91" s="100" t="str">
        <x:f>IF(AND(A91="",B91=""),"",IF(A91="","CLIENT REQUIRED",IF(B91="","SERVICE REQUIRED",IF(COUNTIF(Clients!$A$5:$A$404,A91)=0,"CLIENT NOT FOUND",IF(COUNTIF(Services!$A$5:$A$104,B91)=0,"SERVICE NOT IN SERVICES","OK")))))</x:f>
      </x:c>
    </x:row>
    <x:row r="92">
      <x:c r="D92" s="100" t="str">
        <x:f>IF(AND(A92="",B92=""),"",IF(A92="","CLIENT REQUIRED",IF(B92="","SERVICE REQUIRED",IF(COUNTIF(Clients!$A$5:$A$404,A92)=0,"CLIENT NOT FOUND",IF(COUNTIF(Services!$A$5:$A$104,B92)=0,"SERVICE NOT IN SERVICES","OK")))))</x:f>
      </x:c>
    </x:row>
    <x:row r="93">
      <x:c r="D93" s="100" t="str">
        <x:f>IF(AND(A93="",B93=""),"",IF(A93="","CLIENT REQUIRED",IF(B93="","SERVICE REQUIRED",IF(COUNTIF(Clients!$A$5:$A$404,A93)=0,"CLIENT NOT FOUND",IF(COUNTIF(Services!$A$5:$A$104,B93)=0,"SERVICE NOT IN SERVICES","OK")))))</x:f>
      </x:c>
    </x:row>
    <x:row r="94">
      <x:c r="D94" s="100" t="str">
        <x:f>IF(AND(A94="",B94=""),"",IF(A94="","CLIENT REQUIRED",IF(B94="","SERVICE REQUIRED",IF(COUNTIF(Clients!$A$5:$A$404,A94)=0,"CLIENT NOT FOUND",IF(COUNTIF(Services!$A$5:$A$104,B94)=0,"SERVICE NOT IN SERVICES","OK")))))</x:f>
      </x:c>
    </x:row>
    <x:row r="95">
      <x:c r="D95" s="100" t="str">
        <x:f>IF(AND(A95="",B95=""),"",IF(A95="","CLIENT REQUIRED",IF(B95="","SERVICE REQUIRED",IF(COUNTIF(Clients!$A$5:$A$404,A95)=0,"CLIENT NOT FOUND",IF(COUNTIF(Services!$A$5:$A$104,B95)=0,"SERVICE NOT IN SERVICES","OK")))))</x:f>
      </x:c>
    </x:row>
    <x:row r="96">
      <x:c r="D96" s="100" t="str">
        <x:f>IF(AND(A96="",B96=""),"",IF(A96="","CLIENT REQUIRED",IF(B96="","SERVICE REQUIRED",IF(COUNTIF(Clients!$A$5:$A$404,A96)=0,"CLIENT NOT FOUND",IF(COUNTIF(Services!$A$5:$A$104,B96)=0,"SERVICE NOT IN SERVICES","OK")))))</x:f>
      </x:c>
    </x:row>
    <x:row r="97">
      <x:c r="D97" s="100" t="str">
        <x:f>IF(AND(A97="",B97=""),"",IF(A97="","CLIENT REQUIRED",IF(B97="","SERVICE REQUIRED",IF(COUNTIF(Clients!$A$5:$A$404,A97)=0,"CLIENT NOT FOUND",IF(COUNTIF(Services!$A$5:$A$104,B97)=0,"SERVICE NOT IN SERVICES","OK")))))</x:f>
      </x:c>
    </x:row>
    <x:row r="98">
      <x:c r="D98" s="100" t="str">
        <x:f>IF(AND(A98="",B98=""),"",IF(A98="","CLIENT REQUIRED",IF(B98="","SERVICE REQUIRED",IF(COUNTIF(Clients!$A$5:$A$404,A98)=0,"CLIENT NOT FOUND",IF(COUNTIF(Services!$A$5:$A$104,B98)=0,"SERVICE NOT IN SERVICES","OK")))))</x:f>
      </x:c>
    </x:row>
    <x:row r="99">
      <x:c r="D99" s="100" t="str">
        <x:f>IF(AND(A99="",B99=""),"",IF(A99="","CLIENT REQUIRED",IF(B99="","SERVICE REQUIRED",IF(COUNTIF(Clients!$A$5:$A$404,A99)=0,"CLIENT NOT FOUND",IF(COUNTIF(Services!$A$5:$A$104,B99)=0,"SERVICE NOT IN SERVICES","OK")))))</x:f>
      </x:c>
    </x:row>
    <x:row r="100">
      <x:c r="D100" s="100" t="str">
        <x:f>IF(AND(A100="",B100=""),"",IF(A100="","CLIENT REQUIRED",IF(B100="","SERVICE REQUIRED",IF(COUNTIF(Clients!$A$5:$A$404,A100)=0,"CLIENT NOT FOUND",IF(COUNTIF(Services!$A$5:$A$104,B100)=0,"SERVICE NOT IN SERVICES","OK")))))</x:f>
      </x:c>
    </x:row>
    <x:row r="101">
      <x:c r="D101" s="100" t="str">
        <x:f>IF(AND(A101="",B101=""),"",IF(A101="","CLIENT REQUIRED",IF(B101="","SERVICE REQUIRED",IF(COUNTIF(Clients!$A$5:$A$404,A101)=0,"CLIENT NOT FOUND",IF(COUNTIF(Services!$A$5:$A$104,B101)=0,"SERVICE NOT IN SERVICES","OK")))))</x:f>
      </x:c>
    </x:row>
    <x:row r="102">
      <x:c r="D102" s="100" t="str">
        <x:f>IF(AND(A102="",B102=""),"",IF(A102="","CLIENT REQUIRED",IF(B102="","SERVICE REQUIRED",IF(COUNTIF(Clients!$A$5:$A$404,A102)=0,"CLIENT NOT FOUND",IF(COUNTIF(Services!$A$5:$A$104,B102)=0,"SERVICE NOT IN SERVICES","OK")))))</x:f>
      </x:c>
    </x:row>
    <x:row r="103">
      <x:c r="D103" s="100" t="str">
        <x:f>IF(AND(A103="",B103=""),"",IF(A103="","CLIENT REQUIRED",IF(B103="","SERVICE REQUIRED",IF(COUNTIF(Clients!$A$5:$A$404,A103)=0,"CLIENT NOT FOUND",IF(COUNTIF(Services!$A$5:$A$104,B103)=0,"SERVICE NOT IN SERVICES","OK")))))</x:f>
      </x:c>
    </x:row>
    <x:row r="104">
      <x:c r="D104" s="100" t="str">
        <x:f>IF(AND(A104="",B104=""),"",IF(A104="","CLIENT REQUIRED",IF(B104="","SERVICE REQUIRED",IF(COUNTIF(Clients!$A$5:$A$404,A104)=0,"CLIENT NOT FOUND",IF(COUNTIF(Services!$A$5:$A$104,B104)=0,"SERVICE NOT IN SERVICES","OK")))))</x:f>
      </x:c>
    </x:row>
    <x:row r="105">
      <x:c r="D105" s="100" t="str">
        <x:f>IF(AND(A105="",B105=""),"",IF(A105="","CLIENT REQUIRED",IF(B105="","SERVICE REQUIRED",IF(COUNTIF(Clients!$A$5:$A$404,A105)=0,"CLIENT NOT FOUND",IF(COUNTIF(Services!$A$5:$A$104,B105)=0,"SERVICE NOT IN SERVICES","OK")))))</x:f>
      </x:c>
    </x:row>
    <x:row r="106">
      <x:c r="D106" s="100" t="str">
        <x:f>IF(AND(A106="",B106=""),"",IF(A106="","CLIENT REQUIRED",IF(B106="","SERVICE REQUIRED",IF(COUNTIF(Clients!$A$5:$A$404,A106)=0,"CLIENT NOT FOUND",IF(COUNTIF(Services!$A$5:$A$104,B106)=0,"SERVICE NOT IN SERVICES","OK")))))</x:f>
      </x:c>
    </x:row>
    <x:row r="107">
      <x:c r="D107" s="100" t="str">
        <x:f>IF(AND(A107="",B107=""),"",IF(A107="","CLIENT REQUIRED",IF(B107="","SERVICE REQUIRED",IF(COUNTIF(Clients!$A$5:$A$404,A107)=0,"CLIENT NOT FOUND",IF(COUNTIF(Services!$A$5:$A$104,B107)=0,"SERVICE NOT IN SERVICES","OK")))))</x:f>
      </x:c>
    </x:row>
    <x:row r="108">
      <x:c r="D108" s="100" t="str">
        <x:f>IF(AND(A108="",B108=""),"",IF(A108="","CLIENT REQUIRED",IF(B108="","SERVICE REQUIRED",IF(COUNTIF(Clients!$A$5:$A$404,A108)=0,"CLIENT NOT FOUND",IF(COUNTIF(Services!$A$5:$A$104,B108)=0,"SERVICE NOT IN SERVICES","OK")))))</x:f>
      </x:c>
    </x:row>
    <x:row r="109">
      <x:c r="D109" s="100" t="str">
        <x:f>IF(AND(A109="",B109=""),"",IF(A109="","CLIENT REQUIRED",IF(B109="","SERVICE REQUIRED",IF(COUNTIF(Clients!$A$5:$A$404,A109)=0,"CLIENT NOT FOUND",IF(COUNTIF(Services!$A$5:$A$104,B109)=0,"SERVICE NOT IN SERVICES","OK")))))</x:f>
      </x:c>
    </x:row>
    <x:row r="110">
      <x:c r="D110" s="100" t="str">
        <x:f>IF(AND(A110="",B110=""),"",IF(A110="","CLIENT REQUIRED",IF(B110="","SERVICE REQUIRED",IF(COUNTIF(Clients!$A$5:$A$404,A110)=0,"CLIENT NOT FOUND",IF(COUNTIF(Services!$A$5:$A$104,B110)=0,"SERVICE NOT IN SERVICES","OK")))))</x:f>
      </x:c>
    </x:row>
    <x:row r="111">
      <x:c r="D111" s="100" t="str">
        <x:f>IF(AND(A111="",B111=""),"",IF(A111="","CLIENT REQUIRED",IF(B111="","SERVICE REQUIRED",IF(COUNTIF(Clients!$A$5:$A$404,A111)=0,"CLIENT NOT FOUND",IF(COUNTIF(Services!$A$5:$A$104,B111)=0,"SERVICE NOT IN SERVICES","OK")))))</x:f>
      </x:c>
    </x:row>
    <x:row r="112">
      <x:c r="D112" s="100" t="str">
        <x:f>IF(AND(A112="",B112=""),"",IF(A112="","CLIENT REQUIRED",IF(B112="","SERVICE REQUIRED",IF(COUNTIF(Clients!$A$5:$A$404,A112)=0,"CLIENT NOT FOUND",IF(COUNTIF(Services!$A$5:$A$104,B112)=0,"SERVICE NOT IN SERVICES","OK")))))</x:f>
      </x:c>
    </x:row>
    <x:row r="113">
      <x:c r="D113" s="100" t="str">
        <x:f>IF(AND(A113="",B113=""),"",IF(A113="","CLIENT REQUIRED",IF(B113="","SERVICE REQUIRED",IF(COUNTIF(Clients!$A$5:$A$404,A113)=0,"CLIENT NOT FOUND",IF(COUNTIF(Services!$A$5:$A$104,B113)=0,"SERVICE NOT IN SERVICES","OK")))))</x:f>
      </x:c>
    </x:row>
    <x:row r="114">
      <x:c r="D114" s="100" t="str">
        <x:f>IF(AND(A114="",B114=""),"",IF(A114="","CLIENT REQUIRED",IF(B114="","SERVICE REQUIRED",IF(COUNTIF(Clients!$A$5:$A$404,A114)=0,"CLIENT NOT FOUND",IF(COUNTIF(Services!$A$5:$A$104,B114)=0,"SERVICE NOT IN SERVICES","OK")))))</x:f>
      </x:c>
    </x:row>
    <x:row r="115">
      <x:c r="D115" s="100" t="str">
        <x:f>IF(AND(A115="",B115=""),"",IF(A115="","CLIENT REQUIRED",IF(B115="","SERVICE REQUIRED",IF(COUNTIF(Clients!$A$5:$A$404,A115)=0,"CLIENT NOT FOUND",IF(COUNTIF(Services!$A$5:$A$104,B115)=0,"SERVICE NOT IN SERVICES","OK")))))</x:f>
      </x:c>
    </x:row>
    <x:row r="116">
      <x:c r="D116" s="100" t="str">
        <x:f>IF(AND(A116="",B116=""),"",IF(A116="","CLIENT REQUIRED",IF(B116="","SERVICE REQUIRED",IF(COUNTIF(Clients!$A$5:$A$404,A116)=0,"CLIENT NOT FOUND",IF(COUNTIF(Services!$A$5:$A$104,B116)=0,"SERVICE NOT IN SERVICES","OK")))))</x:f>
      </x:c>
    </x:row>
    <x:row r="117">
      <x:c r="D117" s="100" t="str">
        <x:f>IF(AND(A117="",B117=""),"",IF(A117="","CLIENT REQUIRED",IF(B117="","SERVICE REQUIRED",IF(COUNTIF(Clients!$A$5:$A$404,A117)=0,"CLIENT NOT FOUND",IF(COUNTIF(Services!$A$5:$A$104,B117)=0,"SERVICE NOT IN SERVICES","OK")))))</x:f>
      </x:c>
    </x:row>
    <x:row r="118">
      <x:c r="D118" s="100" t="str">
        <x:f>IF(AND(A118="",B118=""),"",IF(A118="","CLIENT REQUIRED",IF(B118="","SERVICE REQUIRED",IF(COUNTIF(Clients!$A$5:$A$404,A118)=0,"CLIENT NOT FOUND",IF(COUNTIF(Services!$A$5:$A$104,B118)=0,"SERVICE NOT IN SERVICES","OK")))))</x:f>
      </x:c>
    </x:row>
    <x:row r="119">
      <x:c r="D119" s="100" t="str">
        <x:f>IF(AND(A119="",B119=""),"",IF(A119="","CLIENT REQUIRED",IF(B119="","SERVICE REQUIRED",IF(COUNTIF(Clients!$A$5:$A$404,A119)=0,"CLIENT NOT FOUND",IF(COUNTIF(Services!$A$5:$A$104,B119)=0,"SERVICE NOT IN SERVICES","OK")))))</x:f>
      </x:c>
    </x:row>
    <x:row r="120">
      <x:c r="D120" s="100" t="str">
        <x:f>IF(AND(A120="",B120=""),"",IF(A120="","CLIENT REQUIRED",IF(B120="","SERVICE REQUIRED",IF(COUNTIF(Clients!$A$5:$A$404,A120)=0,"CLIENT NOT FOUND",IF(COUNTIF(Services!$A$5:$A$104,B120)=0,"SERVICE NOT IN SERVICES","OK")))))</x:f>
      </x:c>
    </x:row>
    <x:row r="121">
      <x:c r="D121" s="100" t="str">
        <x:f>IF(AND(A121="",B121=""),"",IF(A121="","CLIENT REQUIRED",IF(B121="","SERVICE REQUIRED",IF(COUNTIF(Clients!$A$5:$A$404,A121)=0,"CLIENT NOT FOUND",IF(COUNTIF(Services!$A$5:$A$104,B121)=0,"SERVICE NOT IN SERVICES","OK")))))</x:f>
      </x:c>
    </x:row>
    <x:row r="122">
      <x:c r="D122" s="100" t="str">
        <x:f>IF(AND(A122="",B122=""),"",IF(A122="","CLIENT REQUIRED",IF(B122="","SERVICE REQUIRED",IF(COUNTIF(Clients!$A$5:$A$404,A122)=0,"CLIENT NOT FOUND",IF(COUNTIF(Services!$A$5:$A$104,B122)=0,"SERVICE NOT IN SERVICES","OK")))))</x:f>
      </x:c>
    </x:row>
    <x:row r="123">
      <x:c r="D123" s="100" t="str">
        <x:f>IF(AND(A123="",B123=""),"",IF(A123="","CLIENT REQUIRED",IF(B123="","SERVICE REQUIRED",IF(COUNTIF(Clients!$A$5:$A$404,A123)=0,"CLIENT NOT FOUND",IF(COUNTIF(Services!$A$5:$A$104,B123)=0,"SERVICE NOT IN SERVICES","OK")))))</x:f>
      </x:c>
    </x:row>
    <x:row r="124">
      <x:c r="D124" s="100" t="str">
        <x:f>IF(AND(A124="",B124=""),"",IF(A124="","CLIENT REQUIRED",IF(B124="","SERVICE REQUIRED",IF(COUNTIF(Clients!$A$5:$A$404,A124)=0,"CLIENT NOT FOUND",IF(COUNTIF(Services!$A$5:$A$104,B124)=0,"SERVICE NOT IN SERVICES","OK")))))</x:f>
      </x:c>
    </x:row>
    <x:row r="125">
      <x:c r="D125" s="100" t="str">
        <x:f>IF(AND(A125="",B125=""),"",IF(A125="","CLIENT REQUIRED",IF(B125="","SERVICE REQUIRED",IF(COUNTIF(Clients!$A$5:$A$404,A125)=0,"CLIENT NOT FOUND",IF(COUNTIF(Services!$A$5:$A$104,B125)=0,"SERVICE NOT IN SERVICES","OK")))))</x:f>
      </x:c>
    </x:row>
    <x:row r="126">
      <x:c r="D126" s="100" t="str">
        <x:f>IF(AND(A126="",B126=""),"",IF(A126="","CLIENT REQUIRED",IF(B126="","SERVICE REQUIRED",IF(COUNTIF(Clients!$A$5:$A$404,A126)=0,"CLIENT NOT FOUND",IF(COUNTIF(Services!$A$5:$A$104,B126)=0,"SERVICE NOT IN SERVICES","OK")))))</x:f>
      </x:c>
    </x:row>
    <x:row r="127">
      <x:c r="D127" s="100" t="str">
        <x:f>IF(AND(A127="",B127=""),"",IF(A127="","CLIENT REQUIRED",IF(B127="","SERVICE REQUIRED",IF(COUNTIF(Clients!$A$5:$A$404,A127)=0,"CLIENT NOT FOUND",IF(COUNTIF(Services!$A$5:$A$104,B127)=0,"SERVICE NOT IN SERVICES","OK")))))</x:f>
      </x:c>
    </x:row>
    <x:row r="128">
      <x:c r="D128" s="100" t="str">
        <x:f>IF(AND(A128="",B128=""),"",IF(A128="","CLIENT REQUIRED",IF(B128="","SERVICE REQUIRED",IF(COUNTIF(Clients!$A$5:$A$404,A128)=0,"CLIENT NOT FOUND",IF(COUNTIF(Services!$A$5:$A$104,B128)=0,"SERVICE NOT IN SERVICES","OK")))))</x:f>
      </x:c>
    </x:row>
    <x:row r="129">
      <x:c r="D129" s="100" t="str">
        <x:f>IF(AND(A129="",B129=""),"",IF(A129="","CLIENT REQUIRED",IF(B129="","SERVICE REQUIRED",IF(COUNTIF(Clients!$A$5:$A$404,A129)=0,"CLIENT NOT FOUND",IF(COUNTIF(Services!$A$5:$A$104,B129)=0,"SERVICE NOT IN SERVICES","OK")))))</x:f>
      </x:c>
    </x:row>
    <x:row r="130">
      <x:c r="D130" s="100" t="str">
        <x:f>IF(AND(A130="",B130=""),"",IF(A130="","CLIENT REQUIRED",IF(B130="","SERVICE REQUIRED",IF(COUNTIF(Clients!$A$5:$A$404,A130)=0,"CLIENT NOT FOUND",IF(COUNTIF(Services!$A$5:$A$104,B130)=0,"SERVICE NOT IN SERVICES","OK")))))</x:f>
      </x:c>
    </x:row>
    <x:row r="131">
      <x:c r="D131" s="100" t="str">
        <x:f>IF(AND(A131="",B131=""),"",IF(A131="","CLIENT REQUIRED",IF(B131="","SERVICE REQUIRED",IF(COUNTIF(Clients!$A$5:$A$404,A131)=0,"CLIENT NOT FOUND",IF(COUNTIF(Services!$A$5:$A$104,B131)=0,"SERVICE NOT IN SERVICES","OK")))))</x:f>
      </x:c>
    </x:row>
    <x:row r="132">
      <x:c r="D132" s="100" t="str">
        <x:f>IF(AND(A132="",B132=""),"",IF(A132="","CLIENT REQUIRED",IF(B132="","SERVICE REQUIRED",IF(COUNTIF(Clients!$A$5:$A$404,A132)=0,"CLIENT NOT FOUND",IF(COUNTIF(Services!$A$5:$A$104,B132)=0,"SERVICE NOT IN SERVICES","OK")))))</x:f>
      </x:c>
    </x:row>
    <x:row r="133">
      <x:c r="D133" s="100" t="str">
        <x:f>IF(AND(A133="",B133=""),"",IF(A133="","CLIENT REQUIRED",IF(B133="","SERVICE REQUIRED",IF(COUNTIF(Clients!$A$5:$A$404,A133)=0,"CLIENT NOT FOUND",IF(COUNTIF(Services!$A$5:$A$104,B133)=0,"SERVICE NOT IN SERVICES","OK")))))</x:f>
      </x:c>
    </x:row>
    <x:row r="134">
      <x:c r="D134" s="100" t="str">
        <x:f>IF(AND(A134="",B134=""),"",IF(A134="","CLIENT REQUIRED",IF(B134="","SERVICE REQUIRED",IF(COUNTIF(Clients!$A$5:$A$404,A134)=0,"CLIENT NOT FOUND",IF(COUNTIF(Services!$A$5:$A$104,B134)=0,"SERVICE NOT IN SERVICES","OK")))))</x:f>
      </x:c>
    </x:row>
    <x:row r="135">
      <x:c r="D135" s="100" t="str">
        <x:f>IF(AND(A135="",B135=""),"",IF(A135="","CLIENT REQUIRED",IF(B135="","SERVICE REQUIRED",IF(COUNTIF(Clients!$A$5:$A$404,A135)=0,"CLIENT NOT FOUND",IF(COUNTIF(Services!$A$5:$A$104,B135)=0,"SERVICE NOT IN SERVICES","OK")))))</x:f>
      </x:c>
    </x:row>
    <x:row r="136">
      <x:c r="D136" s="100" t="str">
        <x:f>IF(AND(A136="",B136=""),"",IF(A136="","CLIENT REQUIRED",IF(B136="","SERVICE REQUIRED",IF(COUNTIF(Clients!$A$5:$A$404,A136)=0,"CLIENT NOT FOUND",IF(COUNTIF(Services!$A$5:$A$104,B136)=0,"SERVICE NOT IN SERVICES","OK")))))</x:f>
      </x:c>
    </x:row>
    <x:row r="137">
      <x:c r="D137" s="100" t="str">
        <x:f>IF(AND(A137="",B137=""),"",IF(A137="","CLIENT REQUIRED",IF(B137="","SERVICE REQUIRED",IF(COUNTIF(Clients!$A$5:$A$404,A137)=0,"CLIENT NOT FOUND",IF(COUNTIF(Services!$A$5:$A$104,B137)=0,"SERVICE NOT IN SERVICES","OK")))))</x:f>
      </x:c>
    </x:row>
    <x:row r="138">
      <x:c r="D138" s="100" t="str">
        <x:f>IF(AND(A138="",B138=""),"",IF(A138="","CLIENT REQUIRED",IF(B138="","SERVICE REQUIRED",IF(COUNTIF(Clients!$A$5:$A$404,A138)=0,"CLIENT NOT FOUND",IF(COUNTIF(Services!$A$5:$A$104,B138)=0,"SERVICE NOT IN SERVICES","OK")))))</x:f>
      </x:c>
    </x:row>
    <x:row r="139">
      <x:c r="D139" s="100" t="str">
        <x:f>IF(AND(A139="",B139=""),"",IF(A139="","CLIENT REQUIRED",IF(B139="","SERVICE REQUIRED",IF(COUNTIF(Clients!$A$5:$A$404,A139)=0,"CLIENT NOT FOUND",IF(COUNTIF(Services!$A$5:$A$104,B139)=0,"SERVICE NOT IN SERVICES","OK")))))</x:f>
      </x:c>
    </x:row>
    <x:row r="140">
      <x:c r="D140" s="100" t="str">
        <x:f>IF(AND(A140="",B140=""),"",IF(A140="","CLIENT REQUIRED",IF(B140="","SERVICE REQUIRED",IF(COUNTIF(Clients!$A$5:$A$404,A140)=0,"CLIENT NOT FOUND",IF(COUNTIF(Services!$A$5:$A$104,B140)=0,"SERVICE NOT IN SERVICES","OK")))))</x:f>
      </x:c>
    </x:row>
    <x:row r="141">
      <x:c r="D141" s="100" t="str">
        <x:f>IF(AND(A141="",B141=""),"",IF(A141="","CLIENT REQUIRED",IF(B141="","SERVICE REQUIRED",IF(COUNTIF(Clients!$A$5:$A$404,A141)=0,"CLIENT NOT FOUND",IF(COUNTIF(Services!$A$5:$A$104,B141)=0,"SERVICE NOT IN SERVICES","OK")))))</x:f>
      </x:c>
    </x:row>
    <x:row r="142">
      <x:c r="D142" s="100" t="str">
        <x:f>IF(AND(A142="",B142=""),"",IF(A142="","CLIENT REQUIRED",IF(B142="","SERVICE REQUIRED",IF(COUNTIF(Clients!$A$5:$A$404,A142)=0,"CLIENT NOT FOUND",IF(COUNTIF(Services!$A$5:$A$104,B142)=0,"SERVICE NOT IN SERVICES","OK")))))</x:f>
      </x:c>
    </x:row>
    <x:row r="143">
      <x:c r="D143" s="100" t="str">
        <x:f>IF(AND(A143="",B143=""),"",IF(A143="","CLIENT REQUIRED",IF(B143="","SERVICE REQUIRED",IF(COUNTIF(Clients!$A$5:$A$404,A143)=0,"CLIENT NOT FOUND",IF(COUNTIF(Services!$A$5:$A$104,B143)=0,"SERVICE NOT IN SERVICES","OK")))))</x:f>
      </x:c>
    </x:row>
    <x:row r="144">
      <x:c r="D144" s="100" t="str">
        <x:f>IF(AND(A144="",B144=""),"",IF(A144="","CLIENT REQUIRED",IF(B144="","SERVICE REQUIRED",IF(COUNTIF(Clients!$A$5:$A$404,A144)=0,"CLIENT NOT FOUND",IF(COUNTIF(Services!$A$5:$A$104,B144)=0,"SERVICE NOT IN SERVICES","OK")))))</x:f>
      </x:c>
    </x:row>
    <x:row r="145">
      <x:c r="D145" s="100" t="str">
        <x:f>IF(AND(A145="",B145=""),"",IF(A145="","CLIENT REQUIRED",IF(B145="","SERVICE REQUIRED",IF(COUNTIF(Clients!$A$5:$A$404,A145)=0,"CLIENT NOT FOUND",IF(COUNTIF(Services!$A$5:$A$104,B145)=0,"SERVICE NOT IN SERVICES","OK")))))</x:f>
      </x:c>
    </x:row>
    <x:row r="146">
      <x:c r="D146" s="100" t="str">
        <x:f>IF(AND(A146="",B146=""),"",IF(A146="","CLIENT REQUIRED",IF(B146="","SERVICE REQUIRED",IF(COUNTIF(Clients!$A$5:$A$404,A146)=0,"CLIENT NOT FOUND",IF(COUNTIF(Services!$A$5:$A$104,B146)=0,"SERVICE NOT IN SERVICES","OK")))))</x:f>
      </x:c>
    </x:row>
    <x:row r="147">
      <x:c r="D147" s="100" t="str">
        <x:f>IF(AND(A147="",B147=""),"",IF(A147="","CLIENT REQUIRED",IF(B147="","SERVICE REQUIRED",IF(COUNTIF(Clients!$A$5:$A$404,A147)=0,"CLIENT NOT FOUND",IF(COUNTIF(Services!$A$5:$A$104,B147)=0,"SERVICE NOT IN SERVICES","OK")))))</x:f>
      </x:c>
    </x:row>
    <x:row r="148">
      <x:c r="D148" s="100" t="str">
        <x:f>IF(AND(A148="",B148=""),"",IF(A148="","CLIENT REQUIRED",IF(B148="","SERVICE REQUIRED",IF(COUNTIF(Clients!$A$5:$A$404,A148)=0,"CLIENT NOT FOUND",IF(COUNTIF(Services!$A$5:$A$104,B148)=0,"SERVICE NOT IN SERVICES","OK")))))</x:f>
      </x:c>
    </x:row>
    <x:row r="149">
      <x:c r="D149" s="100" t="str">
        <x:f>IF(AND(A149="",B149=""),"",IF(A149="","CLIENT REQUIRED",IF(B149="","SERVICE REQUIRED",IF(COUNTIF(Clients!$A$5:$A$404,A149)=0,"CLIENT NOT FOUND",IF(COUNTIF(Services!$A$5:$A$104,B149)=0,"SERVICE NOT IN SERVICES","OK")))))</x:f>
      </x:c>
    </x:row>
    <x:row r="150">
      <x:c r="D150" s="100" t="str">
        <x:f>IF(AND(A150="",B150=""),"",IF(A150="","CLIENT REQUIRED",IF(B150="","SERVICE REQUIRED",IF(COUNTIF(Clients!$A$5:$A$404,A150)=0,"CLIENT NOT FOUND",IF(COUNTIF(Services!$A$5:$A$104,B150)=0,"SERVICE NOT IN SERVICES","OK")))))</x:f>
      </x:c>
    </x:row>
    <x:row r="151">
      <x:c r="D151" s="100" t="str">
        <x:f>IF(AND(A151="",B151=""),"",IF(A151="","CLIENT REQUIRED",IF(B151="","SERVICE REQUIRED",IF(COUNTIF(Clients!$A$5:$A$404,A151)=0,"CLIENT NOT FOUND",IF(COUNTIF(Services!$A$5:$A$104,B151)=0,"SERVICE NOT IN SERVICES","OK")))))</x:f>
      </x:c>
    </x:row>
    <x:row r="152">
      <x:c r="D152" s="100" t="str">
        <x:f>IF(AND(A152="",B152=""),"",IF(A152="","CLIENT REQUIRED",IF(B152="","SERVICE REQUIRED",IF(COUNTIF(Clients!$A$5:$A$404,A152)=0,"CLIENT NOT FOUND",IF(COUNTIF(Services!$A$5:$A$104,B152)=0,"SERVICE NOT IN SERVICES","OK")))))</x:f>
      </x:c>
    </x:row>
    <x:row r="153">
      <x:c r="D153" s="100" t="str">
        <x:f>IF(AND(A153="",B153=""),"",IF(A153="","CLIENT REQUIRED",IF(B153="","SERVICE REQUIRED",IF(COUNTIF(Clients!$A$5:$A$404,A153)=0,"CLIENT NOT FOUND",IF(COUNTIF(Services!$A$5:$A$104,B153)=0,"SERVICE NOT IN SERVICES","OK")))))</x:f>
      </x:c>
    </x:row>
    <x:row r="154">
      <x:c r="D154" s="100" t="str">
        <x:f>IF(AND(A154="",B154=""),"",IF(A154="","CLIENT REQUIRED",IF(B154="","SERVICE REQUIRED",IF(COUNTIF(Clients!$A$5:$A$404,A154)=0,"CLIENT NOT FOUND",IF(COUNTIF(Services!$A$5:$A$104,B154)=0,"SERVICE NOT IN SERVICES","OK")))))</x:f>
      </x:c>
    </x:row>
    <x:row r="155">
      <x:c r="D155" s="100" t="str">
        <x:f>IF(AND(A155="",B155=""),"",IF(A155="","CLIENT REQUIRED",IF(B155="","SERVICE REQUIRED",IF(COUNTIF(Clients!$A$5:$A$404,A155)=0,"CLIENT NOT FOUND",IF(COUNTIF(Services!$A$5:$A$104,B155)=0,"SERVICE NOT IN SERVICES","OK")))))</x:f>
      </x:c>
    </x:row>
    <x:row r="156">
      <x:c r="D156" s="100" t="str">
        <x:f>IF(AND(A156="",B156=""),"",IF(A156="","CLIENT REQUIRED",IF(B156="","SERVICE REQUIRED",IF(COUNTIF(Clients!$A$5:$A$404,A156)=0,"CLIENT NOT FOUND",IF(COUNTIF(Services!$A$5:$A$104,B156)=0,"SERVICE NOT IN SERVICES","OK")))))</x:f>
      </x:c>
    </x:row>
    <x:row r="157">
      <x:c r="D157" s="100" t="str">
        <x:f>IF(AND(A157="",B157=""),"",IF(A157="","CLIENT REQUIRED",IF(B157="","SERVICE REQUIRED",IF(COUNTIF(Clients!$A$5:$A$404,A157)=0,"CLIENT NOT FOUND",IF(COUNTIF(Services!$A$5:$A$104,B157)=0,"SERVICE NOT IN SERVICES","OK")))))</x:f>
      </x:c>
    </x:row>
    <x:row r="158">
      <x:c r="D158" s="100" t="str">
        <x:f>IF(AND(A158="",B158=""),"",IF(A158="","CLIENT REQUIRED",IF(B158="","SERVICE REQUIRED",IF(COUNTIF(Clients!$A$5:$A$404,A158)=0,"CLIENT NOT FOUND",IF(COUNTIF(Services!$A$5:$A$104,B158)=0,"SERVICE NOT IN SERVICES","OK")))))</x:f>
      </x:c>
    </x:row>
    <x:row r="159">
      <x:c r="D159" s="100" t="str">
        <x:f>IF(AND(A159="",B159=""),"",IF(A159="","CLIENT REQUIRED",IF(B159="","SERVICE REQUIRED",IF(COUNTIF(Clients!$A$5:$A$404,A159)=0,"CLIENT NOT FOUND",IF(COUNTIF(Services!$A$5:$A$104,B159)=0,"SERVICE NOT IN SERVICES","OK")))))</x:f>
      </x:c>
    </x:row>
    <x:row r="160">
      <x:c r="D160" s="100" t="str">
        <x:f>IF(AND(A160="",B160=""),"",IF(A160="","CLIENT REQUIRED",IF(B160="","SERVICE REQUIRED",IF(COUNTIF(Clients!$A$5:$A$404,A160)=0,"CLIENT NOT FOUND",IF(COUNTIF(Services!$A$5:$A$104,B160)=0,"SERVICE NOT IN SERVICES","OK")))))</x:f>
      </x:c>
    </x:row>
    <x:row r="161">
      <x:c r="D161" s="100" t="str">
        <x:f>IF(AND(A161="",B161=""),"",IF(A161="","CLIENT REQUIRED",IF(B161="","SERVICE REQUIRED",IF(COUNTIF(Clients!$A$5:$A$404,A161)=0,"CLIENT NOT FOUND",IF(COUNTIF(Services!$A$5:$A$104,B161)=0,"SERVICE NOT IN SERVICES","OK")))))</x:f>
      </x:c>
    </x:row>
    <x:row r="162">
      <x:c r="D162" s="100" t="str">
        <x:f>IF(AND(A162="",B162=""),"",IF(A162="","CLIENT REQUIRED",IF(B162="","SERVICE REQUIRED",IF(COUNTIF(Clients!$A$5:$A$404,A162)=0,"CLIENT NOT FOUND",IF(COUNTIF(Services!$A$5:$A$104,B162)=0,"SERVICE NOT IN SERVICES","OK")))))</x:f>
      </x:c>
    </x:row>
    <x:row r="163">
      <x:c r="D163" s="100" t="str">
        <x:f>IF(AND(A163="",B163=""),"",IF(A163="","CLIENT REQUIRED",IF(B163="","SERVICE REQUIRED",IF(COUNTIF(Clients!$A$5:$A$404,A163)=0,"CLIENT NOT FOUND",IF(COUNTIF(Services!$A$5:$A$104,B163)=0,"SERVICE NOT IN SERVICES","OK")))))</x:f>
      </x:c>
    </x:row>
    <x:row r="164">
      <x:c r="D164" s="100" t="str">
        <x:f>IF(AND(A164="",B164=""),"",IF(A164="","CLIENT REQUIRED",IF(B164="","SERVICE REQUIRED",IF(COUNTIF(Clients!$A$5:$A$404,A164)=0,"CLIENT NOT FOUND",IF(COUNTIF(Services!$A$5:$A$104,B164)=0,"SERVICE NOT IN SERVICES","OK")))))</x:f>
      </x:c>
    </x:row>
    <x:row r="165">
      <x:c r="D165" s="100" t="str">
        <x:f>IF(AND(A165="",B165=""),"",IF(A165="","CLIENT REQUIRED",IF(B165="","SERVICE REQUIRED",IF(COUNTIF(Clients!$A$5:$A$404,A165)=0,"CLIENT NOT FOUND",IF(COUNTIF(Services!$A$5:$A$104,B165)=0,"SERVICE NOT IN SERVICES","OK")))))</x:f>
      </x:c>
    </x:row>
    <x:row r="166">
      <x:c r="D166" s="100" t="str">
        <x:f>IF(AND(A166="",B166=""),"",IF(A166="","CLIENT REQUIRED",IF(B166="","SERVICE REQUIRED",IF(COUNTIF(Clients!$A$5:$A$404,A166)=0,"CLIENT NOT FOUND",IF(COUNTIF(Services!$A$5:$A$104,B166)=0,"SERVICE NOT IN SERVICES","OK")))))</x:f>
      </x:c>
    </x:row>
    <x:row r="167">
      <x:c r="D167" s="100" t="str">
        <x:f>IF(AND(A167="",B167=""),"",IF(A167="","CLIENT REQUIRED",IF(B167="","SERVICE REQUIRED",IF(COUNTIF(Clients!$A$5:$A$404,A167)=0,"CLIENT NOT FOUND",IF(COUNTIF(Services!$A$5:$A$104,B167)=0,"SERVICE NOT IN SERVICES","OK")))))</x:f>
      </x:c>
    </x:row>
    <x:row r="168">
      <x:c r="D168" s="100" t="str">
        <x:f>IF(AND(A168="",B168=""),"",IF(A168="","CLIENT REQUIRED",IF(B168="","SERVICE REQUIRED",IF(COUNTIF(Clients!$A$5:$A$404,A168)=0,"CLIENT NOT FOUND",IF(COUNTIF(Services!$A$5:$A$104,B168)=0,"SERVICE NOT IN SERVICES","OK")))))</x:f>
      </x:c>
    </x:row>
    <x:row r="169">
      <x:c r="D169" s="100" t="str">
        <x:f>IF(AND(A169="",B169=""),"",IF(A169="","CLIENT REQUIRED",IF(B169="","SERVICE REQUIRED",IF(COUNTIF(Clients!$A$5:$A$404,A169)=0,"CLIENT NOT FOUND",IF(COUNTIF(Services!$A$5:$A$104,B169)=0,"SERVICE NOT IN SERVICES","OK")))))</x:f>
      </x:c>
    </x:row>
    <x:row r="170">
      <x:c r="D170" s="100" t="str">
        <x:f>IF(AND(A170="",B170=""),"",IF(A170="","CLIENT REQUIRED",IF(B170="","SERVICE REQUIRED",IF(COUNTIF(Clients!$A$5:$A$404,A170)=0,"CLIENT NOT FOUND",IF(COUNTIF(Services!$A$5:$A$104,B170)=0,"SERVICE NOT IN SERVICES","OK")))))</x:f>
      </x:c>
    </x:row>
    <x:row r="171">
      <x:c r="D171" s="100" t="str">
        <x:f>IF(AND(A171="",B171=""),"",IF(A171="","CLIENT REQUIRED",IF(B171="","SERVICE REQUIRED",IF(COUNTIF(Clients!$A$5:$A$404,A171)=0,"CLIENT NOT FOUND",IF(COUNTIF(Services!$A$5:$A$104,B171)=0,"SERVICE NOT IN SERVICES","OK")))))</x:f>
      </x:c>
    </x:row>
    <x:row r="172">
      <x:c r="D172" s="100" t="str">
        <x:f>IF(AND(A172="",B172=""),"",IF(A172="","CLIENT REQUIRED",IF(B172="","SERVICE REQUIRED",IF(COUNTIF(Clients!$A$5:$A$404,A172)=0,"CLIENT NOT FOUND",IF(COUNTIF(Services!$A$5:$A$104,B172)=0,"SERVICE NOT IN SERVICES","OK")))))</x:f>
      </x:c>
    </x:row>
    <x:row r="173">
      <x:c r="D173" s="100" t="str">
        <x:f>IF(AND(A173="",B173=""),"",IF(A173="","CLIENT REQUIRED",IF(B173="","SERVICE REQUIRED",IF(COUNTIF(Clients!$A$5:$A$404,A173)=0,"CLIENT NOT FOUND",IF(COUNTIF(Services!$A$5:$A$104,B173)=0,"SERVICE NOT IN SERVICES","OK")))))</x:f>
      </x:c>
    </x:row>
    <x:row r="174">
      <x:c r="D174" s="100" t="str">
        <x:f>IF(AND(A174="",B174=""),"",IF(A174="","CLIENT REQUIRED",IF(B174="","SERVICE REQUIRED",IF(COUNTIF(Clients!$A$5:$A$404,A174)=0,"CLIENT NOT FOUND",IF(COUNTIF(Services!$A$5:$A$104,B174)=0,"SERVICE NOT IN SERVICES","OK")))))</x:f>
      </x:c>
    </x:row>
    <x:row r="175">
      <x:c r="D175" s="100" t="str">
        <x:f>IF(AND(A175="",B175=""),"",IF(A175="","CLIENT REQUIRED",IF(B175="","SERVICE REQUIRED",IF(COUNTIF(Clients!$A$5:$A$404,A175)=0,"CLIENT NOT FOUND",IF(COUNTIF(Services!$A$5:$A$104,B175)=0,"SERVICE NOT IN SERVICES","OK")))))</x:f>
      </x:c>
    </x:row>
    <x:row r="176">
      <x:c r="D176" s="100" t="str">
        <x:f>IF(AND(A176="",B176=""),"",IF(A176="","CLIENT REQUIRED",IF(B176="","SERVICE REQUIRED",IF(COUNTIF(Clients!$A$5:$A$404,A176)=0,"CLIENT NOT FOUND",IF(COUNTIF(Services!$A$5:$A$104,B176)=0,"SERVICE NOT IN SERVICES","OK")))))</x:f>
      </x:c>
    </x:row>
    <x:row r="177">
      <x:c r="D177" s="100" t="str">
        <x:f>IF(AND(A177="",B177=""),"",IF(A177="","CLIENT REQUIRED",IF(B177="","SERVICE REQUIRED",IF(COUNTIF(Clients!$A$5:$A$404,A177)=0,"CLIENT NOT FOUND",IF(COUNTIF(Services!$A$5:$A$104,B177)=0,"SERVICE NOT IN SERVICES","OK")))))</x:f>
      </x:c>
    </x:row>
    <x:row r="178">
      <x:c r="D178" s="100" t="str">
        <x:f>IF(AND(A178="",B178=""),"",IF(A178="","CLIENT REQUIRED",IF(B178="","SERVICE REQUIRED",IF(COUNTIF(Clients!$A$5:$A$404,A178)=0,"CLIENT NOT FOUND",IF(COUNTIF(Services!$A$5:$A$104,B178)=0,"SERVICE NOT IN SERVICES","OK")))))</x:f>
      </x:c>
    </x:row>
    <x:row r="179">
      <x:c r="D179" s="100" t="str">
        <x:f>IF(AND(A179="",B179=""),"",IF(A179="","CLIENT REQUIRED",IF(B179="","SERVICE REQUIRED",IF(COUNTIF(Clients!$A$5:$A$404,A179)=0,"CLIENT NOT FOUND",IF(COUNTIF(Services!$A$5:$A$104,B179)=0,"SERVICE NOT IN SERVICES","OK")))))</x:f>
      </x:c>
    </x:row>
    <x:row r="180">
      <x:c r="D180" s="100" t="str">
        <x:f>IF(AND(A180="",B180=""),"",IF(A180="","CLIENT REQUIRED",IF(B180="","SERVICE REQUIRED",IF(COUNTIF(Clients!$A$5:$A$404,A180)=0,"CLIENT NOT FOUND",IF(COUNTIF(Services!$A$5:$A$104,B180)=0,"SERVICE NOT IN SERVICES","OK")))))</x:f>
      </x:c>
    </x:row>
    <x:row r="181">
      <x:c r="D181" s="100" t="str">
        <x:f>IF(AND(A181="",B181=""),"",IF(A181="","CLIENT REQUIRED",IF(B181="","SERVICE REQUIRED",IF(COUNTIF(Clients!$A$5:$A$404,A181)=0,"CLIENT NOT FOUND",IF(COUNTIF(Services!$A$5:$A$104,B181)=0,"SERVICE NOT IN SERVICES","OK")))))</x:f>
      </x:c>
    </x:row>
    <x:row r="182">
      <x:c r="D182" s="100" t="str">
        <x:f>IF(AND(A182="",B182=""),"",IF(A182="","CLIENT REQUIRED",IF(B182="","SERVICE REQUIRED",IF(COUNTIF(Clients!$A$5:$A$404,A182)=0,"CLIENT NOT FOUND",IF(COUNTIF(Services!$A$5:$A$104,B182)=0,"SERVICE NOT IN SERVICES","OK")))))</x:f>
      </x:c>
    </x:row>
    <x:row r="183">
      <x:c r="D183" s="100" t="str">
        <x:f>IF(AND(A183="",B183=""),"",IF(A183="","CLIENT REQUIRED",IF(B183="","SERVICE REQUIRED",IF(COUNTIF(Clients!$A$5:$A$404,A183)=0,"CLIENT NOT FOUND",IF(COUNTIF(Services!$A$5:$A$104,B183)=0,"SERVICE NOT IN SERVICES","OK")))))</x:f>
      </x:c>
    </x:row>
    <x:row r="184">
      <x:c r="D184" s="100" t="str">
        <x:f>IF(AND(A184="",B184=""),"",IF(A184="","CLIENT REQUIRED",IF(B184="","SERVICE REQUIRED",IF(COUNTIF(Clients!$A$5:$A$404,A184)=0,"CLIENT NOT FOUND",IF(COUNTIF(Services!$A$5:$A$104,B184)=0,"SERVICE NOT IN SERVICES","OK")))))</x:f>
      </x:c>
    </x:row>
    <x:row r="185">
      <x:c r="D185" s="100" t="str">
        <x:f>IF(AND(A185="",B185=""),"",IF(A185="","CLIENT REQUIRED",IF(B185="","SERVICE REQUIRED",IF(COUNTIF(Clients!$A$5:$A$404,A185)=0,"CLIENT NOT FOUND",IF(COUNTIF(Services!$A$5:$A$104,B185)=0,"SERVICE NOT IN SERVICES","OK")))))</x:f>
      </x:c>
    </x:row>
    <x:row r="186">
      <x:c r="D186" s="100" t="str">
        <x:f>IF(AND(A186="",B186=""),"",IF(A186="","CLIENT REQUIRED",IF(B186="","SERVICE REQUIRED",IF(COUNTIF(Clients!$A$5:$A$404,A186)=0,"CLIENT NOT FOUND",IF(COUNTIF(Services!$A$5:$A$104,B186)=0,"SERVICE NOT IN SERVICES","OK")))))</x:f>
      </x:c>
    </x:row>
    <x:row r="187">
      <x:c r="D187" s="100" t="str">
        <x:f>IF(AND(A187="",B187=""),"",IF(A187="","CLIENT REQUIRED",IF(B187="","SERVICE REQUIRED",IF(COUNTIF(Clients!$A$5:$A$404,A187)=0,"CLIENT NOT FOUND",IF(COUNTIF(Services!$A$5:$A$104,B187)=0,"SERVICE NOT IN SERVICES","OK")))))</x:f>
      </x:c>
    </x:row>
    <x:row r="188">
      <x:c r="D188" s="100" t="str">
        <x:f>IF(AND(A188="",B188=""),"",IF(A188="","CLIENT REQUIRED",IF(B188="","SERVICE REQUIRED",IF(COUNTIF(Clients!$A$5:$A$404,A188)=0,"CLIENT NOT FOUND",IF(COUNTIF(Services!$A$5:$A$104,B188)=0,"SERVICE NOT IN SERVICES","OK")))))</x:f>
      </x:c>
    </x:row>
    <x:row r="189">
      <x:c r="D189" s="100" t="str">
        <x:f>IF(AND(A189="",B189=""),"",IF(A189="","CLIENT REQUIRED",IF(B189="","SERVICE REQUIRED",IF(COUNTIF(Clients!$A$5:$A$404,A189)=0,"CLIENT NOT FOUND",IF(COUNTIF(Services!$A$5:$A$104,B189)=0,"SERVICE NOT IN SERVICES","OK")))))</x:f>
      </x:c>
    </x:row>
    <x:row r="190">
      <x:c r="D190" s="100" t="str">
        <x:f>IF(AND(A190="",B190=""),"",IF(A190="","CLIENT REQUIRED",IF(B190="","SERVICE REQUIRED",IF(COUNTIF(Clients!$A$5:$A$404,A190)=0,"CLIENT NOT FOUND",IF(COUNTIF(Services!$A$5:$A$104,B190)=0,"SERVICE NOT IN SERVICES","OK")))))</x:f>
      </x:c>
    </x:row>
    <x:row r="191">
      <x:c r="D191" s="100" t="str">
        <x:f>IF(AND(A191="",B191=""),"",IF(A191="","CLIENT REQUIRED",IF(B191="","SERVICE REQUIRED",IF(COUNTIF(Clients!$A$5:$A$404,A191)=0,"CLIENT NOT FOUND",IF(COUNTIF(Services!$A$5:$A$104,B191)=0,"SERVICE NOT IN SERVICES","OK")))))</x:f>
      </x:c>
    </x:row>
    <x:row r="192">
      <x:c r="D192" s="100" t="str">
        <x:f>IF(AND(A192="",B192=""),"",IF(A192="","CLIENT REQUIRED",IF(B192="","SERVICE REQUIRED",IF(COUNTIF(Clients!$A$5:$A$404,A192)=0,"CLIENT NOT FOUND",IF(COUNTIF(Services!$A$5:$A$104,B192)=0,"SERVICE NOT IN SERVICES","OK")))))</x:f>
      </x:c>
    </x:row>
    <x:row r="193">
      <x:c r="D193" s="100" t="str">
        <x:f>IF(AND(A193="",B193=""),"",IF(A193="","CLIENT REQUIRED",IF(B193="","SERVICE REQUIRED",IF(COUNTIF(Clients!$A$5:$A$404,A193)=0,"CLIENT NOT FOUND",IF(COUNTIF(Services!$A$5:$A$104,B193)=0,"SERVICE NOT IN SERVICES","OK")))))</x:f>
      </x:c>
    </x:row>
    <x:row r="194">
      <x:c r="D194" s="100" t="str">
        <x:f>IF(AND(A194="",B194=""),"",IF(A194="","CLIENT REQUIRED",IF(B194="","SERVICE REQUIRED",IF(COUNTIF(Clients!$A$5:$A$404,A194)=0,"CLIENT NOT FOUND",IF(COUNTIF(Services!$A$5:$A$104,B194)=0,"SERVICE NOT IN SERVICES","OK")))))</x:f>
      </x:c>
    </x:row>
    <x:row r="195">
      <x:c r="D195" s="100" t="str">
        <x:f>IF(AND(A195="",B195=""),"",IF(A195="","CLIENT REQUIRED",IF(B195="","SERVICE REQUIRED",IF(COUNTIF(Clients!$A$5:$A$404,A195)=0,"CLIENT NOT FOUND",IF(COUNTIF(Services!$A$5:$A$104,B195)=0,"SERVICE NOT IN SERVICES","OK")))))</x:f>
      </x:c>
    </x:row>
    <x:row r="196">
      <x:c r="D196" s="100" t="str">
        <x:f>IF(AND(A196="",B196=""),"",IF(A196="","CLIENT REQUIRED",IF(B196="","SERVICE REQUIRED",IF(COUNTIF(Clients!$A$5:$A$404,A196)=0,"CLIENT NOT FOUND",IF(COUNTIF(Services!$A$5:$A$104,B196)=0,"SERVICE NOT IN SERVICES","OK")))))</x:f>
      </x:c>
    </x:row>
    <x:row r="197">
      <x:c r="D197" s="100" t="str">
        <x:f>IF(AND(A197="",B197=""),"",IF(A197="","CLIENT REQUIRED",IF(B197="","SERVICE REQUIRED",IF(COUNTIF(Clients!$A$5:$A$404,A197)=0,"CLIENT NOT FOUND",IF(COUNTIF(Services!$A$5:$A$104,B197)=0,"SERVICE NOT IN SERVICES","OK")))))</x:f>
      </x:c>
    </x:row>
    <x:row r="198">
      <x:c r="D198" s="100" t="str">
        <x:f>IF(AND(A198="",B198=""),"",IF(A198="","CLIENT REQUIRED",IF(B198="","SERVICE REQUIRED",IF(COUNTIF(Clients!$A$5:$A$404,A198)=0,"CLIENT NOT FOUND",IF(COUNTIF(Services!$A$5:$A$104,B198)=0,"SERVICE NOT IN SERVICES","OK")))))</x:f>
      </x:c>
    </x:row>
    <x:row r="199">
      <x:c r="D199" s="100" t="str">
        <x:f>IF(AND(A199="",B199=""),"",IF(A199="","CLIENT REQUIRED",IF(B199="","SERVICE REQUIRED",IF(COUNTIF(Clients!$A$5:$A$404,A199)=0,"CLIENT NOT FOUND",IF(COUNTIF(Services!$A$5:$A$104,B199)=0,"SERVICE NOT IN SERVICES","OK")))))</x:f>
      </x:c>
    </x:row>
    <x:row r="200">
      <x:c r="D200" s="100" t="str">
        <x:f>IF(AND(A200="",B200=""),"",IF(A200="","CLIENT REQUIRED",IF(B200="","SERVICE REQUIRED",IF(COUNTIF(Clients!$A$5:$A$404,A200)=0,"CLIENT NOT FOUND",IF(COUNTIF(Services!$A$5:$A$104,B200)=0,"SERVICE NOT IN SERVICES","OK")))))</x:f>
      </x:c>
    </x:row>
    <x:row r="201">
      <x:c r="D201" s="100" t="str">
        <x:f>IF(AND(A201="",B201=""),"",IF(A201="","CLIENT REQUIRED",IF(B201="","SERVICE REQUIRED",IF(COUNTIF(Clients!$A$5:$A$404,A201)=0,"CLIENT NOT FOUND",IF(COUNTIF(Services!$A$5:$A$104,B201)=0,"SERVICE NOT IN SERVICES","OK")))))</x:f>
      </x:c>
    </x:row>
    <x:row r="202">
      <x:c r="D202" s="100" t="str">
        <x:f>IF(AND(A202="",B202=""),"",IF(A202="","CLIENT REQUIRED",IF(B202="","SERVICE REQUIRED",IF(COUNTIF(Clients!$A$5:$A$404,A202)=0,"CLIENT NOT FOUND",IF(COUNTIF(Services!$A$5:$A$104,B202)=0,"SERVICE NOT IN SERVICES","OK")))))</x:f>
      </x:c>
    </x:row>
    <x:row r="203">
      <x:c r="D203" s="100" t="str">
        <x:f>IF(AND(A203="",B203=""),"",IF(A203="","CLIENT REQUIRED",IF(B203="","SERVICE REQUIRED",IF(COUNTIF(Clients!$A$5:$A$404,A203)=0,"CLIENT NOT FOUND",IF(COUNTIF(Services!$A$5:$A$104,B203)=0,"SERVICE NOT IN SERVICES","OK")))))</x:f>
      </x:c>
    </x:row>
    <x:row r="204">
      <x:c r="D204" s="100" t="str">
        <x:f>IF(AND(A204="",B204=""),"",IF(A204="","CLIENT REQUIRED",IF(B204="","SERVICE REQUIRED",IF(COUNTIF(Clients!$A$5:$A$404,A204)=0,"CLIENT NOT FOUND",IF(COUNTIF(Services!$A$5:$A$104,B204)=0,"SERVICE NOT IN SERVICES","OK")))))</x:f>
      </x:c>
    </x:row>
    <x:row r="205">
      <x:c r="D205" s="100" t="str">
        <x:f>IF(AND(A205="",B205=""),"",IF(A205="","CLIENT REQUIRED",IF(B205="","SERVICE REQUIRED",IF(COUNTIF(Clients!$A$5:$A$404,A205)=0,"CLIENT NOT FOUND",IF(COUNTIF(Services!$A$5:$A$104,B205)=0,"SERVICE NOT IN SERVICES","OK")))))</x:f>
      </x:c>
    </x:row>
    <x:row r="206">
      <x:c r="D206" s="100" t="str">
        <x:f>IF(AND(A206="",B206=""),"",IF(A206="","CLIENT REQUIRED",IF(B206="","SERVICE REQUIRED",IF(COUNTIF(Clients!$A$5:$A$404,A206)=0,"CLIENT NOT FOUND",IF(COUNTIF(Services!$A$5:$A$104,B206)=0,"SERVICE NOT IN SERVICES","OK")))))</x:f>
      </x:c>
    </x:row>
    <x:row r="207">
      <x:c r="D207" s="100" t="str">
        <x:f>IF(AND(A207="",B207=""),"",IF(A207="","CLIENT REQUIRED",IF(B207="","SERVICE REQUIRED",IF(COUNTIF(Clients!$A$5:$A$404,A207)=0,"CLIENT NOT FOUND",IF(COUNTIF(Services!$A$5:$A$104,B207)=0,"SERVICE NOT IN SERVICES","OK")))))</x:f>
      </x:c>
    </x:row>
    <x:row r="208">
      <x:c r="D208" s="100" t="str">
        <x:f>IF(AND(A208="",B208=""),"",IF(A208="","CLIENT REQUIRED",IF(B208="","SERVICE REQUIRED",IF(COUNTIF(Clients!$A$5:$A$404,A208)=0,"CLIENT NOT FOUND",IF(COUNTIF(Services!$A$5:$A$104,B208)=0,"SERVICE NOT IN SERVICES","OK")))))</x:f>
      </x:c>
    </x:row>
    <x:row r="209">
      <x:c r="D209" s="100" t="str">
        <x:f>IF(AND(A209="",B209=""),"",IF(A209="","CLIENT REQUIRED",IF(B209="","SERVICE REQUIRED",IF(COUNTIF(Clients!$A$5:$A$404,A209)=0,"CLIENT NOT FOUND",IF(COUNTIF(Services!$A$5:$A$104,B209)=0,"SERVICE NOT IN SERVICES","OK")))))</x:f>
      </x:c>
    </x:row>
    <x:row r="210">
      <x:c r="D210" s="100" t="str">
        <x:f>IF(AND(A210="",B210=""),"",IF(A210="","CLIENT REQUIRED",IF(B210="","SERVICE REQUIRED",IF(COUNTIF(Clients!$A$5:$A$404,A210)=0,"CLIENT NOT FOUND",IF(COUNTIF(Services!$A$5:$A$104,B210)=0,"SERVICE NOT IN SERVICES","OK")))))</x:f>
      </x:c>
    </x:row>
    <x:row r="211">
      <x:c r="D211" s="100" t="str">
        <x:f>IF(AND(A211="",B211=""),"",IF(A211="","CLIENT REQUIRED",IF(B211="","SERVICE REQUIRED",IF(COUNTIF(Clients!$A$5:$A$404,A211)=0,"CLIENT NOT FOUND",IF(COUNTIF(Services!$A$5:$A$104,B211)=0,"SERVICE NOT IN SERVICES","OK")))))</x:f>
      </x:c>
    </x:row>
    <x:row r="212">
      <x:c r="D212" s="100" t="str">
        <x:f>IF(AND(A212="",B212=""),"",IF(A212="","CLIENT REQUIRED",IF(B212="","SERVICE REQUIRED",IF(COUNTIF(Clients!$A$5:$A$404,A212)=0,"CLIENT NOT FOUND",IF(COUNTIF(Services!$A$5:$A$104,B212)=0,"SERVICE NOT IN SERVICES","OK")))))</x:f>
      </x:c>
    </x:row>
    <x:row r="213">
      <x:c r="D213" s="100" t="str">
        <x:f>IF(AND(A213="",B213=""),"",IF(A213="","CLIENT REQUIRED",IF(B213="","SERVICE REQUIRED",IF(COUNTIF(Clients!$A$5:$A$404,A213)=0,"CLIENT NOT FOUND",IF(COUNTIF(Services!$A$5:$A$104,B213)=0,"SERVICE NOT IN SERVICES","OK")))))</x:f>
      </x:c>
    </x:row>
    <x:row r="214">
      <x:c r="D214" s="100" t="str">
        <x:f>IF(AND(A214="",B214=""),"",IF(A214="","CLIENT REQUIRED",IF(B214="","SERVICE REQUIRED",IF(COUNTIF(Clients!$A$5:$A$404,A214)=0,"CLIENT NOT FOUND",IF(COUNTIF(Services!$A$5:$A$104,B214)=0,"SERVICE NOT IN SERVICES","OK")))))</x:f>
      </x:c>
    </x:row>
    <x:row r="215">
      <x:c r="D215" s="100" t="str">
        <x:f>IF(AND(A215="",B215=""),"",IF(A215="","CLIENT REQUIRED",IF(B215="","SERVICE REQUIRED",IF(COUNTIF(Clients!$A$5:$A$404,A215)=0,"CLIENT NOT FOUND",IF(COUNTIF(Services!$A$5:$A$104,B215)=0,"SERVICE NOT IN SERVICES","OK")))))</x:f>
      </x:c>
    </x:row>
    <x:row r="216">
      <x:c r="D216" s="100" t="str">
        <x:f>IF(AND(A216="",B216=""),"",IF(A216="","CLIENT REQUIRED",IF(B216="","SERVICE REQUIRED",IF(COUNTIF(Clients!$A$5:$A$404,A216)=0,"CLIENT NOT FOUND",IF(COUNTIF(Services!$A$5:$A$104,B216)=0,"SERVICE NOT IN SERVICES","OK")))))</x:f>
      </x:c>
    </x:row>
    <x:row r="217">
      <x:c r="D217" s="100" t="str">
        <x:f>IF(AND(A217="",B217=""),"",IF(A217="","CLIENT REQUIRED",IF(B217="","SERVICE REQUIRED",IF(COUNTIF(Clients!$A$5:$A$404,A217)=0,"CLIENT NOT FOUND",IF(COUNTIF(Services!$A$5:$A$104,B217)=0,"SERVICE NOT IN SERVICES","OK")))))</x:f>
      </x:c>
    </x:row>
    <x:row r="218">
      <x:c r="D218" s="100" t="str">
        <x:f>IF(AND(A218="",B218=""),"",IF(A218="","CLIENT REQUIRED",IF(B218="","SERVICE REQUIRED",IF(COUNTIF(Clients!$A$5:$A$404,A218)=0,"CLIENT NOT FOUND",IF(COUNTIF(Services!$A$5:$A$104,B218)=0,"SERVICE NOT IN SERVICES","OK")))))</x:f>
      </x:c>
    </x:row>
    <x:row r="219">
      <x:c r="D219" s="100" t="str">
        <x:f>IF(AND(A219="",B219=""),"",IF(A219="","CLIENT REQUIRED",IF(B219="","SERVICE REQUIRED",IF(COUNTIF(Clients!$A$5:$A$404,A219)=0,"CLIENT NOT FOUND",IF(COUNTIF(Services!$A$5:$A$104,B219)=0,"SERVICE NOT IN SERVICES","OK")))))</x:f>
      </x:c>
    </x:row>
    <x:row r="220">
      <x:c r="D220" s="100" t="str">
        <x:f>IF(AND(A220="",B220=""),"",IF(A220="","CLIENT REQUIRED",IF(B220="","SERVICE REQUIRED",IF(COUNTIF(Clients!$A$5:$A$404,A220)=0,"CLIENT NOT FOUND",IF(COUNTIF(Services!$A$5:$A$104,B220)=0,"SERVICE NOT IN SERVICES","OK")))))</x:f>
      </x:c>
    </x:row>
    <x:row r="221">
      <x:c r="D221" s="100" t="str">
        <x:f>IF(AND(A221="",B221=""),"",IF(A221="","CLIENT REQUIRED",IF(B221="","SERVICE REQUIRED",IF(COUNTIF(Clients!$A$5:$A$404,A221)=0,"CLIENT NOT FOUND",IF(COUNTIF(Services!$A$5:$A$104,B221)=0,"SERVICE NOT IN SERVICES","OK")))))</x:f>
      </x:c>
    </x:row>
    <x:row r="222">
      <x:c r="D222" s="100" t="str">
        <x:f>IF(AND(A222="",B222=""),"",IF(A222="","CLIENT REQUIRED",IF(B222="","SERVICE REQUIRED",IF(COUNTIF(Clients!$A$5:$A$404,A222)=0,"CLIENT NOT FOUND",IF(COUNTIF(Services!$A$5:$A$104,B222)=0,"SERVICE NOT IN SERVICES","OK")))))</x:f>
      </x:c>
    </x:row>
    <x:row r="223">
      <x:c r="D223" s="100" t="str">
        <x:f>IF(AND(A223="",B223=""),"",IF(A223="","CLIENT REQUIRED",IF(B223="","SERVICE REQUIRED",IF(COUNTIF(Clients!$A$5:$A$404,A223)=0,"CLIENT NOT FOUND",IF(COUNTIF(Services!$A$5:$A$104,B223)=0,"SERVICE NOT IN SERVICES","OK")))))</x:f>
      </x:c>
    </x:row>
    <x:row r="224">
      <x:c r="D224" s="100" t="str">
        <x:f>IF(AND(A224="",B224=""),"",IF(A224="","CLIENT REQUIRED",IF(B224="","SERVICE REQUIRED",IF(COUNTIF(Clients!$A$5:$A$404,A224)=0,"CLIENT NOT FOUND",IF(COUNTIF(Services!$A$5:$A$104,B224)=0,"SERVICE NOT IN SERVICES","OK")))))</x:f>
      </x:c>
    </x:row>
    <x:row r="225">
      <x:c r="D225" s="100" t="str">
        <x:f>IF(AND(A225="",B225=""),"",IF(A225="","CLIENT REQUIRED",IF(B225="","SERVICE REQUIRED",IF(COUNTIF(Clients!$A$5:$A$404,A225)=0,"CLIENT NOT FOUND",IF(COUNTIF(Services!$A$5:$A$104,B225)=0,"SERVICE NOT IN SERVICES","OK")))))</x:f>
      </x:c>
    </x:row>
    <x:row r="226">
      <x:c r="D226" s="100" t="str">
        <x:f>IF(AND(A226="",B226=""),"",IF(A226="","CLIENT REQUIRED",IF(B226="","SERVICE REQUIRED",IF(COUNTIF(Clients!$A$5:$A$404,A226)=0,"CLIENT NOT FOUND",IF(COUNTIF(Services!$A$5:$A$104,B226)=0,"SERVICE NOT IN SERVICES","OK")))))</x:f>
      </x:c>
    </x:row>
    <x:row r="227">
      <x:c r="D227" s="100" t="str">
        <x:f>IF(AND(A227="",B227=""),"",IF(A227="","CLIENT REQUIRED",IF(B227="","SERVICE REQUIRED",IF(COUNTIF(Clients!$A$5:$A$404,A227)=0,"CLIENT NOT FOUND",IF(COUNTIF(Services!$A$5:$A$104,B227)=0,"SERVICE NOT IN SERVICES","OK")))))</x:f>
      </x:c>
    </x:row>
    <x:row r="228">
      <x:c r="D228" s="100" t="str">
        <x:f>IF(AND(A228="",B228=""),"",IF(A228="","CLIENT REQUIRED",IF(B228="","SERVICE REQUIRED",IF(COUNTIF(Clients!$A$5:$A$404,A228)=0,"CLIENT NOT FOUND",IF(COUNTIF(Services!$A$5:$A$104,B228)=0,"SERVICE NOT IN SERVICES","OK")))))</x:f>
      </x:c>
    </x:row>
    <x:row r="229">
      <x:c r="D229" s="100" t="str">
        <x:f>IF(AND(A229="",B229=""),"",IF(A229="","CLIENT REQUIRED",IF(B229="","SERVICE REQUIRED",IF(COUNTIF(Clients!$A$5:$A$404,A229)=0,"CLIENT NOT FOUND",IF(COUNTIF(Services!$A$5:$A$104,B229)=0,"SERVICE NOT IN SERVICES","OK")))))</x:f>
      </x:c>
    </x:row>
    <x:row r="230">
      <x:c r="D230" s="100" t="str">
        <x:f>IF(AND(A230="",B230=""),"",IF(A230="","CLIENT REQUIRED",IF(B230="","SERVICE REQUIRED",IF(COUNTIF(Clients!$A$5:$A$404,A230)=0,"CLIENT NOT FOUND",IF(COUNTIF(Services!$A$5:$A$104,B230)=0,"SERVICE NOT IN SERVICES","OK")))))</x:f>
      </x:c>
    </x:row>
    <x:row r="231">
      <x:c r="D231" s="100" t="str">
        <x:f>IF(AND(A231="",B231=""),"",IF(A231="","CLIENT REQUIRED",IF(B231="","SERVICE REQUIRED",IF(COUNTIF(Clients!$A$5:$A$404,A231)=0,"CLIENT NOT FOUND",IF(COUNTIF(Services!$A$5:$A$104,B231)=0,"SERVICE NOT IN SERVICES","OK")))))</x:f>
      </x:c>
    </x:row>
    <x:row r="232">
      <x:c r="D232" s="100" t="str">
        <x:f>IF(AND(A232="",B232=""),"",IF(A232="","CLIENT REQUIRED",IF(B232="","SERVICE REQUIRED",IF(COUNTIF(Clients!$A$5:$A$404,A232)=0,"CLIENT NOT FOUND",IF(COUNTIF(Services!$A$5:$A$104,B232)=0,"SERVICE NOT IN SERVICES","OK")))))</x:f>
      </x:c>
    </x:row>
    <x:row r="233">
      <x:c r="D233" s="100" t="str">
        <x:f>IF(AND(A233="",B233=""),"",IF(A233="","CLIENT REQUIRED",IF(B233="","SERVICE REQUIRED",IF(COUNTIF(Clients!$A$5:$A$404,A233)=0,"CLIENT NOT FOUND",IF(COUNTIF(Services!$A$5:$A$104,B233)=0,"SERVICE NOT IN SERVICES","OK")))))</x:f>
      </x:c>
    </x:row>
    <x:row r="234">
      <x:c r="D234" s="100" t="str">
        <x:f>IF(AND(A234="",B234=""),"",IF(A234="","CLIENT REQUIRED",IF(B234="","SERVICE REQUIRED",IF(COUNTIF(Clients!$A$5:$A$404,A234)=0,"CLIENT NOT FOUND",IF(COUNTIF(Services!$A$5:$A$104,B234)=0,"SERVICE NOT IN SERVICES","OK")))))</x:f>
      </x:c>
    </x:row>
    <x:row r="235">
      <x:c r="D235" s="100" t="str">
        <x:f>IF(AND(A235="",B235=""),"",IF(A235="","CLIENT REQUIRED",IF(B235="","SERVICE REQUIRED",IF(COUNTIF(Clients!$A$5:$A$404,A235)=0,"CLIENT NOT FOUND",IF(COUNTIF(Services!$A$5:$A$104,B235)=0,"SERVICE NOT IN SERVICES","OK")))))</x:f>
      </x:c>
    </x:row>
    <x:row r="236">
      <x:c r="D236" s="100" t="str">
        <x:f>IF(AND(A236="",B236=""),"",IF(A236="","CLIENT REQUIRED",IF(B236="","SERVICE REQUIRED",IF(COUNTIF(Clients!$A$5:$A$404,A236)=0,"CLIENT NOT FOUND",IF(COUNTIF(Services!$A$5:$A$104,B236)=0,"SERVICE NOT IN SERVICES","OK")))))</x:f>
      </x:c>
    </x:row>
    <x:row r="237">
      <x:c r="D237" s="100" t="str">
        <x:f>IF(AND(A237="",B237=""),"",IF(A237="","CLIENT REQUIRED",IF(B237="","SERVICE REQUIRED",IF(COUNTIF(Clients!$A$5:$A$404,A237)=0,"CLIENT NOT FOUND",IF(COUNTIF(Services!$A$5:$A$104,B237)=0,"SERVICE NOT IN SERVICES","OK")))))</x:f>
      </x:c>
    </x:row>
    <x:row r="238">
      <x:c r="D238" s="100" t="str">
        <x:f>IF(AND(A238="",B238=""),"",IF(A238="","CLIENT REQUIRED",IF(B238="","SERVICE REQUIRED",IF(COUNTIF(Clients!$A$5:$A$404,A238)=0,"CLIENT NOT FOUND",IF(COUNTIF(Services!$A$5:$A$104,B238)=0,"SERVICE NOT IN SERVICES","OK")))))</x:f>
      </x:c>
    </x:row>
    <x:row r="239">
      <x:c r="D239" s="100" t="str">
        <x:f>IF(AND(A239="",B239=""),"",IF(A239="","CLIENT REQUIRED",IF(B239="","SERVICE REQUIRED",IF(COUNTIF(Clients!$A$5:$A$404,A239)=0,"CLIENT NOT FOUND",IF(COUNTIF(Services!$A$5:$A$104,B239)=0,"SERVICE NOT IN SERVICES","OK")))))</x:f>
      </x:c>
    </x:row>
    <x:row r="240">
      <x:c r="D240" s="100" t="str">
        <x:f>IF(AND(A240="",B240=""),"",IF(A240="","CLIENT REQUIRED",IF(B240="","SERVICE REQUIRED",IF(COUNTIF(Clients!$A$5:$A$404,A240)=0,"CLIENT NOT FOUND",IF(COUNTIF(Services!$A$5:$A$104,B240)=0,"SERVICE NOT IN SERVICES","OK")))))</x:f>
      </x:c>
    </x:row>
    <x:row r="241">
      <x:c r="D241" s="100" t="str">
        <x:f>IF(AND(A241="",B241=""),"",IF(A241="","CLIENT REQUIRED",IF(B241="","SERVICE REQUIRED",IF(COUNTIF(Clients!$A$5:$A$404,A241)=0,"CLIENT NOT FOUND",IF(COUNTIF(Services!$A$5:$A$104,B241)=0,"SERVICE NOT IN SERVICES","OK")))))</x:f>
      </x:c>
    </x:row>
    <x:row r="242">
      <x:c r="D242" s="100" t="str">
        <x:f>IF(AND(A242="",B242=""),"",IF(A242="","CLIENT REQUIRED",IF(B242="","SERVICE REQUIRED",IF(COUNTIF(Clients!$A$5:$A$404,A242)=0,"CLIENT NOT FOUND",IF(COUNTIF(Services!$A$5:$A$104,B242)=0,"SERVICE NOT IN SERVICES","OK")))))</x:f>
      </x:c>
    </x:row>
    <x:row r="243">
      <x:c r="D243" s="100" t="str">
        <x:f>IF(AND(A243="",B243=""),"",IF(A243="","CLIENT REQUIRED",IF(B243="","SERVICE REQUIRED",IF(COUNTIF(Clients!$A$5:$A$404,A243)=0,"CLIENT NOT FOUND",IF(COUNTIF(Services!$A$5:$A$104,B243)=0,"SERVICE NOT IN SERVICES","OK")))))</x:f>
      </x:c>
    </x:row>
    <x:row r="244">
      <x:c r="D244" s="100" t="str">
        <x:f>IF(AND(A244="",B244=""),"",IF(A244="","CLIENT REQUIRED",IF(B244="","SERVICE REQUIRED",IF(COUNTIF(Clients!$A$5:$A$404,A244)=0,"CLIENT NOT FOUND",IF(COUNTIF(Services!$A$5:$A$104,B244)=0,"SERVICE NOT IN SERVICES","OK")))))</x:f>
      </x:c>
    </x:row>
    <x:row r="245">
      <x:c r="D245" s="100" t="str">
        <x:f>IF(AND(A245="",B245=""),"",IF(A245="","CLIENT REQUIRED",IF(B245="","SERVICE REQUIRED",IF(COUNTIF(Clients!$A$5:$A$404,A245)=0,"CLIENT NOT FOUND",IF(COUNTIF(Services!$A$5:$A$104,B245)=0,"SERVICE NOT IN SERVICES","OK")))))</x:f>
      </x:c>
    </x:row>
    <x:row r="246">
      <x:c r="D246" s="100" t="str">
        <x:f>IF(AND(A246="",B246=""),"",IF(A246="","CLIENT REQUIRED",IF(B246="","SERVICE REQUIRED",IF(COUNTIF(Clients!$A$5:$A$404,A246)=0,"CLIENT NOT FOUND",IF(COUNTIF(Services!$A$5:$A$104,B246)=0,"SERVICE NOT IN SERVICES","OK")))))</x:f>
      </x:c>
    </x:row>
    <x:row r="247">
      <x:c r="D247" s="100" t="str">
        <x:f>IF(AND(A247="",B247=""),"",IF(A247="","CLIENT REQUIRED",IF(B247="","SERVICE REQUIRED",IF(COUNTIF(Clients!$A$5:$A$404,A247)=0,"CLIENT NOT FOUND",IF(COUNTIF(Services!$A$5:$A$104,B247)=0,"SERVICE NOT IN SERVICES","OK")))))</x:f>
      </x:c>
    </x:row>
    <x:row r="248">
      <x:c r="D248" s="100" t="str">
        <x:f>IF(AND(A248="",B248=""),"",IF(A248="","CLIENT REQUIRED",IF(B248="","SERVICE REQUIRED",IF(COUNTIF(Clients!$A$5:$A$404,A248)=0,"CLIENT NOT FOUND",IF(COUNTIF(Services!$A$5:$A$104,B248)=0,"SERVICE NOT IN SERVICES","OK")))))</x:f>
      </x:c>
    </x:row>
    <x:row r="249">
      <x:c r="D249" s="100" t="str">
        <x:f>IF(AND(A249="",B249=""),"",IF(A249="","CLIENT REQUIRED",IF(B249="","SERVICE REQUIRED",IF(COUNTIF(Clients!$A$5:$A$404,A249)=0,"CLIENT NOT FOUND",IF(COUNTIF(Services!$A$5:$A$104,B249)=0,"SERVICE NOT IN SERVICES","OK")))))</x:f>
      </x:c>
    </x:row>
    <x:row r="250">
      <x:c r="D250" s="100" t="str">
        <x:f>IF(AND(A250="",B250=""),"",IF(A250="","CLIENT REQUIRED",IF(B250="","SERVICE REQUIRED",IF(COUNTIF(Clients!$A$5:$A$404,A250)=0,"CLIENT NOT FOUND",IF(COUNTIF(Services!$A$5:$A$104,B250)=0,"SERVICE NOT IN SERVICES","OK")))))</x:f>
      </x:c>
    </x:row>
    <x:row r="251">
      <x:c r="D251" s="100" t="str">
        <x:f>IF(AND(A251="",B251=""),"",IF(A251="","CLIENT REQUIRED",IF(B251="","SERVICE REQUIRED",IF(COUNTIF(Clients!$A$5:$A$404,A251)=0,"CLIENT NOT FOUND",IF(COUNTIF(Services!$A$5:$A$104,B251)=0,"SERVICE NOT IN SERVICES","OK")))))</x:f>
      </x:c>
    </x:row>
    <x:row r="252">
      <x:c r="D252" s="100" t="str">
        <x:f>IF(AND(A252="",B252=""),"",IF(A252="","CLIENT REQUIRED",IF(B252="","SERVICE REQUIRED",IF(COUNTIF(Clients!$A$5:$A$404,A252)=0,"CLIENT NOT FOUND",IF(COUNTIF(Services!$A$5:$A$104,B252)=0,"SERVICE NOT IN SERVICES","OK")))))</x:f>
      </x:c>
    </x:row>
    <x:row r="253">
      <x:c r="D253" s="100" t="str">
        <x:f>IF(AND(A253="",B253=""),"",IF(A253="","CLIENT REQUIRED",IF(B253="","SERVICE REQUIRED",IF(COUNTIF(Clients!$A$5:$A$404,A253)=0,"CLIENT NOT FOUND",IF(COUNTIF(Services!$A$5:$A$104,B253)=0,"SERVICE NOT IN SERVICES","OK")))))</x:f>
      </x:c>
    </x:row>
    <x:row r="254">
      <x:c r="D254" s="100" t="str">
        <x:f>IF(AND(A254="",B254=""),"",IF(A254="","CLIENT REQUIRED",IF(B254="","SERVICE REQUIRED",IF(COUNTIF(Clients!$A$5:$A$404,A254)=0,"CLIENT NOT FOUND",IF(COUNTIF(Services!$A$5:$A$104,B254)=0,"SERVICE NOT IN SERVICES","OK")))))</x:f>
      </x:c>
    </x:row>
    <x:row r="255">
      <x:c r="D255" s="100" t="str">
        <x:f>IF(AND(A255="",B255=""),"",IF(A255="","CLIENT REQUIRED",IF(B255="","SERVICE REQUIRED",IF(COUNTIF(Clients!$A$5:$A$404,A255)=0,"CLIENT NOT FOUND",IF(COUNTIF(Services!$A$5:$A$104,B255)=0,"SERVICE NOT IN SERVICES","OK")))))</x:f>
      </x:c>
    </x:row>
    <x:row r="256">
      <x:c r="D256" s="100" t="str">
        <x:f>IF(AND(A256="",B256=""),"",IF(A256="","CLIENT REQUIRED",IF(B256="","SERVICE REQUIRED",IF(COUNTIF(Clients!$A$5:$A$404,A256)=0,"CLIENT NOT FOUND",IF(COUNTIF(Services!$A$5:$A$104,B256)=0,"SERVICE NOT IN SERVICES","OK")))))</x:f>
      </x:c>
    </x:row>
    <x:row r="257">
      <x:c r="D257" s="100" t="str">
        <x:f>IF(AND(A257="",B257=""),"",IF(A257="","CLIENT REQUIRED",IF(B257="","SERVICE REQUIRED",IF(COUNTIF(Clients!$A$5:$A$404,A257)=0,"CLIENT NOT FOUND",IF(COUNTIF(Services!$A$5:$A$104,B257)=0,"SERVICE NOT IN SERVICES","OK")))))</x:f>
      </x:c>
    </x:row>
    <x:row r="258">
      <x:c r="D258" s="100" t="str">
        <x:f>IF(AND(A258="",B258=""),"",IF(A258="","CLIENT REQUIRED",IF(B258="","SERVICE REQUIRED",IF(COUNTIF(Clients!$A$5:$A$404,A258)=0,"CLIENT NOT FOUND",IF(COUNTIF(Services!$A$5:$A$104,B258)=0,"SERVICE NOT IN SERVICES","OK")))))</x:f>
      </x:c>
    </x:row>
    <x:row r="259">
      <x:c r="D259" s="100" t="str">
        <x:f>IF(AND(A259="",B259=""),"",IF(A259="","CLIENT REQUIRED",IF(B259="","SERVICE REQUIRED",IF(COUNTIF(Clients!$A$5:$A$404,A259)=0,"CLIENT NOT FOUND",IF(COUNTIF(Services!$A$5:$A$104,B259)=0,"SERVICE NOT IN SERVICES","OK")))))</x:f>
      </x:c>
    </x:row>
    <x:row r="260">
      <x:c r="D260" s="100" t="str">
        <x:f>IF(AND(A260="",B260=""),"",IF(A260="","CLIENT REQUIRED",IF(B260="","SERVICE REQUIRED",IF(COUNTIF(Clients!$A$5:$A$404,A260)=0,"CLIENT NOT FOUND",IF(COUNTIF(Services!$A$5:$A$104,B260)=0,"SERVICE NOT IN SERVICES","OK")))))</x:f>
      </x:c>
    </x:row>
    <x:row r="261">
      <x:c r="D261" s="100" t="str">
        <x:f>IF(AND(A261="",B261=""),"",IF(A261="","CLIENT REQUIRED",IF(B261="","SERVICE REQUIRED",IF(COUNTIF(Clients!$A$5:$A$404,A261)=0,"CLIENT NOT FOUND",IF(COUNTIF(Services!$A$5:$A$104,B261)=0,"SERVICE NOT IN SERVICES","OK")))))</x:f>
      </x:c>
    </x:row>
    <x:row r="262">
      <x:c r="D262" s="100" t="str">
        <x:f>IF(AND(A262="",B262=""),"",IF(A262="","CLIENT REQUIRED",IF(B262="","SERVICE REQUIRED",IF(COUNTIF(Clients!$A$5:$A$404,A262)=0,"CLIENT NOT FOUND",IF(COUNTIF(Services!$A$5:$A$104,B262)=0,"SERVICE NOT IN SERVICES","OK")))))</x:f>
      </x:c>
    </x:row>
    <x:row r="263">
      <x:c r="D263" s="100" t="str">
        <x:f>IF(AND(A263="",B263=""),"",IF(A263="","CLIENT REQUIRED",IF(B263="","SERVICE REQUIRED",IF(COUNTIF(Clients!$A$5:$A$404,A263)=0,"CLIENT NOT FOUND",IF(COUNTIF(Services!$A$5:$A$104,B263)=0,"SERVICE NOT IN SERVICES","OK")))))</x:f>
      </x:c>
    </x:row>
    <x:row r="264">
      <x:c r="D264" s="100" t="str">
        <x:f>IF(AND(A264="",B264=""),"",IF(A264="","CLIENT REQUIRED",IF(B264="","SERVICE REQUIRED",IF(COUNTIF(Clients!$A$5:$A$404,A264)=0,"CLIENT NOT FOUND",IF(COUNTIF(Services!$A$5:$A$104,B264)=0,"SERVICE NOT IN SERVICES","OK")))))</x:f>
      </x:c>
    </x:row>
    <x:row r="265">
      <x:c r="D265" s="100" t="str">
        <x:f>IF(AND(A265="",B265=""),"",IF(A265="","CLIENT REQUIRED",IF(B265="","SERVICE REQUIRED",IF(COUNTIF(Clients!$A$5:$A$404,A265)=0,"CLIENT NOT FOUND",IF(COUNTIF(Services!$A$5:$A$104,B265)=0,"SERVICE NOT IN SERVICES","OK")))))</x:f>
      </x:c>
    </x:row>
    <x:row r="266">
      <x:c r="D266" s="100" t="str">
        <x:f>IF(AND(A266="",B266=""),"",IF(A266="","CLIENT REQUIRED",IF(B266="","SERVICE REQUIRED",IF(COUNTIF(Clients!$A$5:$A$404,A266)=0,"CLIENT NOT FOUND",IF(COUNTIF(Services!$A$5:$A$104,B266)=0,"SERVICE NOT IN SERVICES","OK")))))</x:f>
      </x:c>
    </x:row>
    <x:row r="267">
      <x:c r="D267" s="100" t="str">
        <x:f>IF(AND(A267="",B267=""),"",IF(A267="","CLIENT REQUIRED",IF(B267="","SERVICE REQUIRED",IF(COUNTIF(Clients!$A$5:$A$404,A267)=0,"CLIENT NOT FOUND",IF(COUNTIF(Services!$A$5:$A$104,B267)=0,"SERVICE NOT IN SERVICES","OK")))))</x:f>
      </x:c>
    </x:row>
    <x:row r="268">
      <x:c r="D268" s="100" t="str">
        <x:f>IF(AND(A268="",B268=""),"",IF(A268="","CLIENT REQUIRED",IF(B268="","SERVICE REQUIRED",IF(COUNTIF(Clients!$A$5:$A$404,A268)=0,"CLIENT NOT FOUND",IF(COUNTIF(Services!$A$5:$A$104,B268)=0,"SERVICE NOT IN SERVICES","OK")))))</x:f>
      </x:c>
    </x:row>
    <x:row r="269">
      <x:c r="D269" s="100" t="str">
        <x:f>IF(AND(A269="",B269=""),"",IF(A269="","CLIENT REQUIRED",IF(B269="","SERVICE REQUIRED",IF(COUNTIF(Clients!$A$5:$A$404,A269)=0,"CLIENT NOT FOUND",IF(COUNTIF(Services!$A$5:$A$104,B269)=0,"SERVICE NOT IN SERVICES","OK")))))</x:f>
      </x:c>
    </x:row>
    <x:row r="270">
      <x:c r="D270" s="100" t="str">
        <x:f>IF(AND(A270="",B270=""),"",IF(A270="","CLIENT REQUIRED",IF(B270="","SERVICE REQUIRED",IF(COUNTIF(Clients!$A$5:$A$404,A270)=0,"CLIENT NOT FOUND",IF(COUNTIF(Services!$A$5:$A$104,B270)=0,"SERVICE NOT IN SERVICES","OK")))))</x:f>
      </x:c>
    </x:row>
    <x:row r="271">
      <x:c r="D271" s="100" t="str">
        <x:f>IF(AND(A271="",B271=""),"",IF(A271="","CLIENT REQUIRED",IF(B271="","SERVICE REQUIRED",IF(COUNTIF(Clients!$A$5:$A$404,A271)=0,"CLIENT NOT FOUND",IF(COUNTIF(Services!$A$5:$A$104,B271)=0,"SERVICE NOT IN SERVICES","OK")))))</x:f>
      </x:c>
    </x:row>
    <x:row r="272">
      <x:c r="D272" s="100" t="str">
        <x:f>IF(AND(A272="",B272=""),"",IF(A272="","CLIENT REQUIRED",IF(B272="","SERVICE REQUIRED",IF(COUNTIF(Clients!$A$5:$A$404,A272)=0,"CLIENT NOT FOUND",IF(COUNTIF(Services!$A$5:$A$104,B272)=0,"SERVICE NOT IN SERVICES","OK")))))</x:f>
      </x:c>
    </x:row>
    <x:row r="273">
      <x:c r="D273" s="100" t="str">
        <x:f>IF(AND(A273="",B273=""),"",IF(A273="","CLIENT REQUIRED",IF(B273="","SERVICE REQUIRED",IF(COUNTIF(Clients!$A$5:$A$404,A273)=0,"CLIENT NOT FOUND",IF(COUNTIF(Services!$A$5:$A$104,B273)=0,"SERVICE NOT IN SERVICES","OK")))))</x:f>
      </x:c>
    </x:row>
    <x:row r="274">
      <x:c r="D274" s="100" t="str">
        <x:f>IF(AND(A274="",B274=""),"",IF(A274="","CLIENT REQUIRED",IF(B274="","SERVICE REQUIRED",IF(COUNTIF(Clients!$A$5:$A$404,A274)=0,"CLIENT NOT FOUND",IF(COUNTIF(Services!$A$5:$A$104,B274)=0,"SERVICE NOT IN SERVICES","OK")))))</x:f>
      </x:c>
    </x:row>
    <x:row r="275">
      <x:c r="D275" s="100" t="str">
        <x:f>IF(AND(A275="",B275=""),"",IF(A275="","CLIENT REQUIRED",IF(B275="","SERVICE REQUIRED",IF(COUNTIF(Clients!$A$5:$A$404,A275)=0,"CLIENT NOT FOUND",IF(COUNTIF(Services!$A$5:$A$104,B275)=0,"SERVICE NOT IN SERVICES","OK")))))</x:f>
      </x:c>
    </x:row>
    <x:row r="276">
      <x:c r="D276" s="100" t="str">
        <x:f>IF(AND(A276="",B276=""),"",IF(A276="","CLIENT REQUIRED",IF(B276="","SERVICE REQUIRED",IF(COUNTIF(Clients!$A$5:$A$404,A276)=0,"CLIENT NOT FOUND",IF(COUNTIF(Services!$A$5:$A$104,B276)=0,"SERVICE NOT IN SERVICES","OK")))))</x:f>
      </x:c>
    </x:row>
    <x:row r="277">
      <x:c r="D277" s="100" t="str">
        <x:f>IF(AND(A277="",B277=""),"",IF(A277="","CLIENT REQUIRED",IF(B277="","SERVICE REQUIRED",IF(COUNTIF(Clients!$A$5:$A$404,A277)=0,"CLIENT NOT FOUND",IF(COUNTIF(Services!$A$5:$A$104,B277)=0,"SERVICE NOT IN SERVICES","OK")))))</x:f>
      </x:c>
    </x:row>
    <x:row r="278">
      <x:c r="D278" s="100" t="str">
        <x:f>IF(AND(A278="",B278=""),"",IF(A278="","CLIENT REQUIRED",IF(B278="","SERVICE REQUIRED",IF(COUNTIF(Clients!$A$5:$A$404,A278)=0,"CLIENT NOT FOUND",IF(COUNTIF(Services!$A$5:$A$104,B278)=0,"SERVICE NOT IN SERVICES","OK")))))</x:f>
      </x:c>
    </x:row>
    <x:row r="279">
      <x:c r="D279" s="100" t="str">
        <x:f>IF(AND(A279="",B279=""),"",IF(A279="","CLIENT REQUIRED",IF(B279="","SERVICE REQUIRED",IF(COUNTIF(Clients!$A$5:$A$404,A279)=0,"CLIENT NOT FOUND",IF(COUNTIF(Services!$A$5:$A$104,B279)=0,"SERVICE NOT IN SERVICES","OK")))))</x:f>
      </x:c>
    </x:row>
    <x:row r="280">
      <x:c r="D280" s="100" t="str">
        <x:f>IF(AND(A280="",B280=""),"",IF(A280="","CLIENT REQUIRED",IF(B280="","SERVICE REQUIRED",IF(COUNTIF(Clients!$A$5:$A$404,A280)=0,"CLIENT NOT FOUND",IF(COUNTIF(Services!$A$5:$A$104,B280)=0,"SERVICE NOT IN SERVICES","OK")))))</x:f>
      </x:c>
    </x:row>
    <x:row r="281">
      <x:c r="D281" s="100" t="str">
        <x:f>IF(AND(A281="",B281=""),"",IF(A281="","CLIENT REQUIRED",IF(B281="","SERVICE REQUIRED",IF(COUNTIF(Clients!$A$5:$A$404,A281)=0,"CLIENT NOT FOUND",IF(COUNTIF(Services!$A$5:$A$104,B281)=0,"SERVICE NOT IN SERVICES","OK")))))</x:f>
      </x:c>
    </x:row>
    <x:row r="282">
      <x:c r="D282" s="100" t="str">
        <x:f>IF(AND(A282="",B282=""),"",IF(A282="","CLIENT REQUIRED",IF(B282="","SERVICE REQUIRED",IF(COUNTIF(Clients!$A$5:$A$404,A282)=0,"CLIENT NOT FOUND",IF(COUNTIF(Services!$A$5:$A$104,B282)=0,"SERVICE NOT IN SERVICES","OK")))))</x:f>
      </x:c>
    </x:row>
    <x:row r="283">
      <x:c r="D283" s="100" t="str">
        <x:f>IF(AND(A283="",B283=""),"",IF(A283="","CLIENT REQUIRED",IF(B283="","SERVICE REQUIRED",IF(COUNTIF(Clients!$A$5:$A$404,A283)=0,"CLIENT NOT FOUND",IF(COUNTIF(Services!$A$5:$A$104,B283)=0,"SERVICE NOT IN SERVICES","OK")))))</x:f>
      </x:c>
    </x:row>
    <x:row r="284">
      <x:c r="D284" s="100" t="str">
        <x:f>IF(AND(A284="",B284=""),"",IF(A284="","CLIENT REQUIRED",IF(B284="","SERVICE REQUIRED",IF(COUNTIF(Clients!$A$5:$A$404,A284)=0,"CLIENT NOT FOUND",IF(COUNTIF(Services!$A$5:$A$104,B284)=0,"SERVICE NOT IN SERVICES","OK")))))</x:f>
      </x:c>
    </x:row>
    <x:row r="285">
      <x:c r="D285" s="100" t="str">
        <x:f>IF(AND(A285="",B285=""),"",IF(A285="","CLIENT REQUIRED",IF(B285="","SERVICE REQUIRED",IF(COUNTIF(Clients!$A$5:$A$404,A285)=0,"CLIENT NOT FOUND",IF(COUNTIF(Services!$A$5:$A$104,B285)=0,"SERVICE NOT IN SERVICES","OK")))))</x:f>
      </x:c>
    </x:row>
    <x:row r="286">
      <x:c r="D286" s="100" t="str">
        <x:f>IF(AND(A286="",B286=""),"",IF(A286="","CLIENT REQUIRED",IF(B286="","SERVICE REQUIRED",IF(COUNTIF(Clients!$A$5:$A$404,A286)=0,"CLIENT NOT FOUND",IF(COUNTIF(Services!$A$5:$A$104,B286)=0,"SERVICE NOT IN SERVICES","OK")))))</x:f>
      </x:c>
    </x:row>
    <x:row r="287">
      <x:c r="D287" s="100" t="str">
        <x:f>IF(AND(A287="",B287=""),"",IF(A287="","CLIENT REQUIRED",IF(B287="","SERVICE REQUIRED",IF(COUNTIF(Clients!$A$5:$A$404,A287)=0,"CLIENT NOT FOUND",IF(COUNTIF(Services!$A$5:$A$104,B287)=0,"SERVICE NOT IN SERVICES","OK")))))</x:f>
      </x:c>
    </x:row>
    <x:row r="288">
      <x:c r="D288" s="100" t="str">
        <x:f>IF(AND(A288="",B288=""),"",IF(A288="","CLIENT REQUIRED",IF(B288="","SERVICE REQUIRED",IF(COUNTIF(Clients!$A$5:$A$404,A288)=0,"CLIENT NOT FOUND",IF(COUNTIF(Services!$A$5:$A$104,B288)=0,"SERVICE NOT IN SERVICES","OK")))))</x:f>
      </x:c>
    </x:row>
    <x:row r="289">
      <x:c r="D289" s="100" t="str">
        <x:f>IF(AND(A289="",B289=""),"",IF(A289="","CLIENT REQUIRED",IF(B289="","SERVICE REQUIRED",IF(COUNTIF(Clients!$A$5:$A$404,A289)=0,"CLIENT NOT FOUND",IF(COUNTIF(Services!$A$5:$A$104,B289)=0,"SERVICE NOT IN SERVICES","OK")))))</x:f>
      </x:c>
    </x:row>
    <x:row r="290">
      <x:c r="D290" s="100" t="str">
        <x:f>IF(AND(A290="",B290=""),"",IF(A290="","CLIENT REQUIRED",IF(B290="","SERVICE REQUIRED",IF(COUNTIF(Clients!$A$5:$A$404,A290)=0,"CLIENT NOT FOUND",IF(COUNTIF(Services!$A$5:$A$104,B290)=0,"SERVICE NOT IN SERVICES","OK")))))</x:f>
      </x:c>
    </x:row>
    <x:row r="291">
      <x:c r="D291" s="100" t="str">
        <x:f>IF(AND(A291="",B291=""),"",IF(A291="","CLIENT REQUIRED",IF(B291="","SERVICE REQUIRED",IF(COUNTIF(Clients!$A$5:$A$404,A291)=0,"CLIENT NOT FOUND",IF(COUNTIF(Services!$A$5:$A$104,B291)=0,"SERVICE NOT IN SERVICES","OK")))))</x:f>
      </x:c>
    </x:row>
    <x:row r="292">
      <x:c r="D292" s="100" t="str">
        <x:f>IF(AND(A292="",B292=""),"",IF(A292="","CLIENT REQUIRED",IF(B292="","SERVICE REQUIRED",IF(COUNTIF(Clients!$A$5:$A$404,A292)=0,"CLIENT NOT FOUND",IF(COUNTIF(Services!$A$5:$A$104,B292)=0,"SERVICE NOT IN SERVICES","OK")))))</x:f>
      </x:c>
    </x:row>
    <x:row r="293">
      <x:c r="D293" s="100" t="str">
        <x:f>IF(AND(A293="",B293=""),"",IF(A293="","CLIENT REQUIRED",IF(B293="","SERVICE REQUIRED",IF(COUNTIF(Clients!$A$5:$A$404,A293)=0,"CLIENT NOT FOUND",IF(COUNTIF(Services!$A$5:$A$104,B293)=0,"SERVICE NOT IN SERVICES","OK")))))</x:f>
      </x:c>
    </x:row>
    <x:row r="294">
      <x:c r="D294" s="100" t="str">
        <x:f>IF(AND(A294="",B294=""),"",IF(A294="","CLIENT REQUIRED",IF(B294="","SERVICE REQUIRED",IF(COUNTIF(Clients!$A$5:$A$404,A294)=0,"CLIENT NOT FOUND",IF(COUNTIF(Services!$A$5:$A$104,B294)=0,"SERVICE NOT IN SERVICES","OK")))))</x:f>
      </x:c>
    </x:row>
    <x:row r="295">
      <x:c r="D295" s="100" t="str">
        <x:f>IF(AND(A295="",B295=""),"",IF(A295="","CLIENT REQUIRED",IF(B295="","SERVICE REQUIRED",IF(COUNTIF(Clients!$A$5:$A$404,A295)=0,"CLIENT NOT FOUND",IF(COUNTIF(Services!$A$5:$A$104,B295)=0,"SERVICE NOT IN SERVICES","OK")))))</x:f>
      </x:c>
    </x:row>
    <x:row r="296">
      <x:c r="D296" s="100" t="str">
        <x:f>IF(AND(A296="",B296=""),"",IF(A296="","CLIENT REQUIRED",IF(B296="","SERVICE REQUIRED",IF(COUNTIF(Clients!$A$5:$A$404,A296)=0,"CLIENT NOT FOUND",IF(COUNTIF(Services!$A$5:$A$104,B296)=0,"SERVICE NOT IN SERVICES","OK")))))</x:f>
      </x:c>
    </x:row>
    <x:row r="297">
      <x:c r="D297" s="100" t="str">
        <x:f>IF(AND(A297="",B297=""),"",IF(A297="","CLIENT REQUIRED",IF(B297="","SERVICE REQUIRED",IF(COUNTIF(Clients!$A$5:$A$404,A297)=0,"CLIENT NOT FOUND",IF(COUNTIF(Services!$A$5:$A$104,B297)=0,"SERVICE NOT IN SERVICES","OK")))))</x:f>
      </x:c>
    </x:row>
    <x:row r="298">
      <x:c r="D298" s="100" t="str">
        <x:f>IF(AND(A298="",B298=""),"",IF(A298="","CLIENT REQUIRED",IF(B298="","SERVICE REQUIRED",IF(COUNTIF(Clients!$A$5:$A$404,A298)=0,"CLIENT NOT FOUND",IF(COUNTIF(Services!$A$5:$A$104,B298)=0,"SERVICE NOT IN SERVICES","OK")))))</x:f>
      </x:c>
    </x:row>
    <x:row r="299">
      <x:c r="D299" s="100" t="str">
        <x:f>IF(AND(A299="",B299=""),"",IF(A299="","CLIENT REQUIRED",IF(B299="","SERVICE REQUIRED",IF(COUNTIF(Clients!$A$5:$A$404,A299)=0,"CLIENT NOT FOUND",IF(COUNTIF(Services!$A$5:$A$104,B299)=0,"SERVICE NOT IN SERVICES","OK")))))</x:f>
      </x:c>
    </x:row>
    <x:row r="300">
      <x:c r="D300" s="100" t="str">
        <x:f>IF(AND(A300="",B300=""),"",IF(A300="","CLIENT REQUIRED",IF(B300="","SERVICE REQUIRED",IF(COUNTIF(Clients!$A$5:$A$404,A300)=0,"CLIENT NOT FOUND",IF(COUNTIF(Services!$A$5:$A$104,B300)=0,"SERVICE NOT IN SERVICES","OK")))))</x:f>
      </x:c>
    </x:row>
    <x:row r="301">
      <x:c r="D301" s="100" t="str">
        <x:f>IF(AND(A301="",B301=""),"",IF(A301="","CLIENT REQUIRED",IF(B301="","SERVICE REQUIRED",IF(COUNTIF(Clients!$A$5:$A$404,A301)=0,"CLIENT NOT FOUND",IF(COUNTIF(Services!$A$5:$A$104,B301)=0,"SERVICE NOT IN SERVICES","OK")))))</x:f>
      </x:c>
    </x:row>
    <x:row r="302">
      <x:c r="D302" s="100" t="str">
        <x:f>IF(AND(A302="",B302=""),"",IF(A302="","CLIENT REQUIRED",IF(B302="","SERVICE REQUIRED",IF(COUNTIF(Clients!$A$5:$A$404,A302)=0,"CLIENT NOT FOUND",IF(COUNTIF(Services!$A$5:$A$104,B302)=0,"SERVICE NOT IN SERVICES","OK")))))</x:f>
      </x:c>
    </x:row>
    <x:row r="303">
      <x:c r="D303" s="100" t="str">
        <x:f>IF(AND(A303="",B303=""),"",IF(A303="","CLIENT REQUIRED",IF(B303="","SERVICE REQUIRED",IF(COUNTIF(Clients!$A$5:$A$404,A303)=0,"CLIENT NOT FOUND",IF(COUNTIF(Services!$A$5:$A$104,B303)=0,"SERVICE NOT IN SERVICES","OK")))))</x:f>
      </x:c>
    </x:row>
    <x:row r="304">
      <x:c r="D304" s="100" t="str">
        <x:f>IF(AND(A304="",B304=""),"",IF(A304="","CLIENT REQUIRED",IF(B304="","SERVICE REQUIRED",IF(COUNTIF(Clients!$A$5:$A$404,A304)=0,"CLIENT NOT FOUND",IF(COUNTIF(Services!$A$5:$A$104,B304)=0,"SERVICE NOT IN SERVICES","OK")))))</x:f>
      </x:c>
    </x:row>
    <x:row r="305">
      <x:c r="D305" s="100" t="str">
        <x:f>IF(AND(A305="",B305=""),"",IF(A305="","CLIENT REQUIRED",IF(B305="","SERVICE REQUIRED",IF(COUNTIF(Clients!$A$5:$A$404,A305)=0,"CLIENT NOT FOUND",IF(COUNTIF(Services!$A$5:$A$104,B305)=0,"SERVICE NOT IN SERVICES","OK")))))</x:f>
      </x:c>
    </x:row>
    <x:row r="306">
      <x:c r="D306" s="100" t="str">
        <x:f>IF(AND(A306="",B306=""),"",IF(A306="","CLIENT REQUIRED",IF(B306="","SERVICE REQUIRED",IF(COUNTIF(Clients!$A$5:$A$404,A306)=0,"CLIENT NOT FOUND",IF(COUNTIF(Services!$A$5:$A$104,B306)=0,"SERVICE NOT IN SERVICES","OK")))))</x:f>
      </x:c>
    </x:row>
    <x:row r="307">
      <x:c r="D307" s="100" t="str">
        <x:f>IF(AND(A307="",B307=""),"",IF(A307="","CLIENT REQUIRED",IF(B307="","SERVICE REQUIRED",IF(COUNTIF(Clients!$A$5:$A$404,A307)=0,"CLIENT NOT FOUND",IF(COUNTIF(Services!$A$5:$A$104,B307)=0,"SERVICE NOT IN SERVICES","OK")))))</x:f>
      </x:c>
    </x:row>
    <x:row r="308">
      <x:c r="D308" s="100" t="str">
        <x:f>IF(AND(A308="",B308=""),"",IF(A308="","CLIENT REQUIRED",IF(B308="","SERVICE REQUIRED",IF(COUNTIF(Clients!$A$5:$A$404,A308)=0,"CLIENT NOT FOUND",IF(COUNTIF(Services!$A$5:$A$104,B308)=0,"SERVICE NOT IN SERVICES","OK")))))</x:f>
      </x:c>
    </x:row>
    <x:row r="309">
      <x:c r="D309" s="100" t="str">
        <x:f>IF(AND(A309="",B309=""),"",IF(A309="","CLIENT REQUIRED",IF(B309="","SERVICE REQUIRED",IF(COUNTIF(Clients!$A$5:$A$404,A309)=0,"CLIENT NOT FOUND",IF(COUNTIF(Services!$A$5:$A$104,B309)=0,"SERVICE NOT IN SERVICES","OK")))))</x:f>
      </x:c>
    </x:row>
    <x:row r="310">
      <x:c r="D310" s="100" t="str">
        <x:f>IF(AND(A310="",B310=""),"",IF(A310="","CLIENT REQUIRED",IF(B310="","SERVICE REQUIRED",IF(COUNTIF(Clients!$A$5:$A$404,A310)=0,"CLIENT NOT FOUND",IF(COUNTIF(Services!$A$5:$A$104,B310)=0,"SERVICE NOT IN SERVICES","OK")))))</x:f>
      </x:c>
    </x:row>
    <x:row r="311">
      <x:c r="D311" s="100" t="str">
        <x:f>IF(AND(A311="",B311=""),"",IF(A311="","CLIENT REQUIRED",IF(B311="","SERVICE REQUIRED",IF(COUNTIF(Clients!$A$5:$A$404,A311)=0,"CLIENT NOT FOUND",IF(COUNTIF(Services!$A$5:$A$104,B311)=0,"SERVICE NOT IN SERVICES","OK")))))</x:f>
      </x:c>
    </x:row>
    <x:row r="312">
      <x:c r="D312" s="100" t="str">
        <x:f>IF(AND(A312="",B312=""),"",IF(A312="","CLIENT REQUIRED",IF(B312="","SERVICE REQUIRED",IF(COUNTIF(Clients!$A$5:$A$404,A312)=0,"CLIENT NOT FOUND",IF(COUNTIF(Services!$A$5:$A$104,B312)=0,"SERVICE NOT IN SERVICES","OK")))))</x:f>
      </x:c>
    </x:row>
    <x:row r="313">
      <x:c r="D313" s="100" t="str">
        <x:f>IF(AND(A313="",B313=""),"",IF(A313="","CLIENT REQUIRED",IF(B313="","SERVICE REQUIRED",IF(COUNTIF(Clients!$A$5:$A$404,A313)=0,"CLIENT NOT FOUND",IF(COUNTIF(Services!$A$5:$A$104,B313)=0,"SERVICE NOT IN SERVICES","OK")))))</x:f>
      </x:c>
    </x:row>
    <x:row r="314">
      <x:c r="D314" s="100" t="str">
        <x:f>IF(AND(A314="",B314=""),"",IF(A314="","CLIENT REQUIRED",IF(B314="","SERVICE REQUIRED",IF(COUNTIF(Clients!$A$5:$A$404,A314)=0,"CLIENT NOT FOUND",IF(COUNTIF(Services!$A$5:$A$104,B314)=0,"SERVICE NOT IN SERVICES","OK")))))</x:f>
      </x:c>
    </x:row>
    <x:row r="315">
      <x:c r="D315" s="100" t="str">
        <x:f>IF(AND(A315="",B315=""),"",IF(A315="","CLIENT REQUIRED",IF(B315="","SERVICE REQUIRED",IF(COUNTIF(Clients!$A$5:$A$404,A315)=0,"CLIENT NOT FOUND",IF(COUNTIF(Services!$A$5:$A$104,B315)=0,"SERVICE NOT IN SERVICES","OK")))))</x:f>
      </x:c>
    </x:row>
    <x:row r="316">
      <x:c r="D316" s="100" t="str">
        <x:f>IF(AND(A316="",B316=""),"",IF(A316="","CLIENT REQUIRED",IF(B316="","SERVICE REQUIRED",IF(COUNTIF(Clients!$A$5:$A$404,A316)=0,"CLIENT NOT FOUND",IF(COUNTIF(Services!$A$5:$A$104,B316)=0,"SERVICE NOT IN SERVICES","OK")))))</x:f>
      </x:c>
    </x:row>
    <x:row r="317">
      <x:c r="D317" s="100" t="str">
        <x:f>IF(AND(A317="",B317=""),"",IF(A317="","CLIENT REQUIRED",IF(B317="","SERVICE REQUIRED",IF(COUNTIF(Clients!$A$5:$A$404,A317)=0,"CLIENT NOT FOUND",IF(COUNTIF(Services!$A$5:$A$104,B317)=0,"SERVICE NOT IN SERVICES","OK")))))</x:f>
      </x:c>
    </x:row>
    <x:row r="318">
      <x:c r="D318" s="100" t="str">
        <x:f>IF(AND(A318="",B318=""),"",IF(A318="","CLIENT REQUIRED",IF(B318="","SERVICE REQUIRED",IF(COUNTIF(Clients!$A$5:$A$404,A318)=0,"CLIENT NOT FOUND",IF(COUNTIF(Services!$A$5:$A$104,B318)=0,"SERVICE NOT IN SERVICES","OK")))))</x:f>
      </x:c>
    </x:row>
    <x:row r="319">
      <x:c r="D319" s="100" t="str">
        <x:f>IF(AND(A319="",B319=""),"",IF(A319="","CLIENT REQUIRED",IF(B319="","SERVICE REQUIRED",IF(COUNTIF(Clients!$A$5:$A$404,A319)=0,"CLIENT NOT FOUND",IF(COUNTIF(Services!$A$5:$A$104,B319)=0,"SERVICE NOT IN SERVICES","OK")))))</x:f>
      </x:c>
    </x:row>
    <x:row r="320">
      <x:c r="D320" s="100" t="str">
        <x:f>IF(AND(A320="",B320=""),"",IF(A320="","CLIENT REQUIRED",IF(B320="","SERVICE REQUIRED",IF(COUNTIF(Clients!$A$5:$A$404,A320)=0,"CLIENT NOT FOUND",IF(COUNTIF(Services!$A$5:$A$104,B320)=0,"SERVICE NOT IN SERVICES","OK")))))</x:f>
      </x:c>
    </x:row>
    <x:row r="321">
      <x:c r="D321" s="100" t="str">
        <x:f>IF(AND(A321="",B321=""),"",IF(A321="","CLIENT REQUIRED",IF(B321="","SERVICE REQUIRED",IF(COUNTIF(Clients!$A$5:$A$404,A321)=0,"CLIENT NOT FOUND",IF(COUNTIF(Services!$A$5:$A$104,B321)=0,"SERVICE NOT IN SERVICES","OK")))))</x:f>
      </x:c>
    </x:row>
    <x:row r="322">
      <x:c r="D322" s="100" t="str">
        <x:f>IF(AND(A322="",B322=""),"",IF(A322="","CLIENT REQUIRED",IF(B322="","SERVICE REQUIRED",IF(COUNTIF(Clients!$A$5:$A$404,A322)=0,"CLIENT NOT FOUND",IF(COUNTIF(Services!$A$5:$A$104,B322)=0,"SERVICE NOT IN SERVICES","OK")))))</x:f>
      </x:c>
    </x:row>
    <x:row r="323">
      <x:c r="D323" s="100" t="str">
        <x:f>IF(AND(A323="",B323=""),"",IF(A323="","CLIENT REQUIRED",IF(B323="","SERVICE REQUIRED",IF(COUNTIF(Clients!$A$5:$A$404,A323)=0,"CLIENT NOT FOUND",IF(COUNTIF(Services!$A$5:$A$104,B323)=0,"SERVICE NOT IN SERVICES","OK")))))</x:f>
      </x:c>
    </x:row>
    <x:row r="324">
      <x:c r="D324" s="100" t="str">
        <x:f>IF(AND(A324="",B324=""),"",IF(A324="","CLIENT REQUIRED",IF(B324="","SERVICE REQUIRED",IF(COUNTIF(Clients!$A$5:$A$404,A324)=0,"CLIENT NOT FOUND",IF(COUNTIF(Services!$A$5:$A$104,B324)=0,"SERVICE NOT IN SERVICES","OK")))))</x:f>
      </x:c>
    </x:row>
    <x:row r="325">
      <x:c r="D325" s="100" t="str">
        <x:f>IF(AND(A325="",B325=""),"",IF(A325="","CLIENT REQUIRED",IF(B325="","SERVICE REQUIRED",IF(COUNTIF(Clients!$A$5:$A$404,A325)=0,"CLIENT NOT FOUND",IF(COUNTIF(Services!$A$5:$A$104,B325)=0,"SERVICE NOT IN SERVICES","OK")))))</x:f>
      </x:c>
    </x:row>
    <x:row r="326">
      <x:c r="D326" s="100" t="str">
        <x:f>IF(AND(A326="",B326=""),"",IF(A326="","CLIENT REQUIRED",IF(B326="","SERVICE REQUIRED",IF(COUNTIF(Clients!$A$5:$A$404,A326)=0,"CLIENT NOT FOUND",IF(COUNTIF(Services!$A$5:$A$104,B326)=0,"SERVICE NOT IN SERVICES","OK")))))</x:f>
      </x:c>
    </x:row>
    <x:row r="327">
      <x:c r="D327" s="100" t="str">
        <x:f>IF(AND(A327="",B327=""),"",IF(A327="","CLIENT REQUIRED",IF(B327="","SERVICE REQUIRED",IF(COUNTIF(Clients!$A$5:$A$404,A327)=0,"CLIENT NOT FOUND",IF(COUNTIF(Services!$A$5:$A$104,B327)=0,"SERVICE NOT IN SERVICES","OK")))))</x:f>
      </x:c>
    </x:row>
    <x:row r="328">
      <x:c r="D328" s="100" t="str">
        <x:f>IF(AND(A328="",B328=""),"",IF(A328="","CLIENT REQUIRED",IF(B328="","SERVICE REQUIRED",IF(COUNTIF(Clients!$A$5:$A$404,A328)=0,"CLIENT NOT FOUND",IF(COUNTIF(Services!$A$5:$A$104,B328)=0,"SERVICE NOT IN SERVICES","OK")))))</x:f>
      </x:c>
    </x:row>
    <x:row r="329">
      <x:c r="D329" s="100" t="str">
        <x:f>IF(AND(A329="",B329=""),"",IF(A329="","CLIENT REQUIRED",IF(B329="","SERVICE REQUIRED",IF(COUNTIF(Clients!$A$5:$A$404,A329)=0,"CLIENT NOT FOUND",IF(COUNTIF(Services!$A$5:$A$104,B329)=0,"SERVICE NOT IN SERVICES","OK")))))</x:f>
      </x:c>
    </x:row>
    <x:row r="330">
      <x:c r="D330" s="100" t="str">
        <x:f>IF(AND(A330="",B330=""),"",IF(A330="","CLIENT REQUIRED",IF(B330="","SERVICE REQUIRED",IF(COUNTIF(Clients!$A$5:$A$404,A330)=0,"CLIENT NOT FOUND",IF(COUNTIF(Services!$A$5:$A$104,B330)=0,"SERVICE NOT IN SERVICES","OK")))))</x:f>
      </x:c>
    </x:row>
    <x:row r="331">
      <x:c r="D331" s="100" t="str">
        <x:f>IF(AND(A331="",B331=""),"",IF(A331="","CLIENT REQUIRED",IF(B331="","SERVICE REQUIRED",IF(COUNTIF(Clients!$A$5:$A$404,A331)=0,"CLIENT NOT FOUND",IF(COUNTIF(Services!$A$5:$A$104,B331)=0,"SERVICE NOT IN SERVICES","OK")))))</x:f>
      </x:c>
    </x:row>
    <x:row r="332">
      <x:c r="D332" s="100" t="str">
        <x:f>IF(AND(A332="",B332=""),"",IF(A332="","CLIENT REQUIRED",IF(B332="","SERVICE REQUIRED",IF(COUNTIF(Clients!$A$5:$A$404,A332)=0,"CLIENT NOT FOUND",IF(COUNTIF(Services!$A$5:$A$104,B332)=0,"SERVICE NOT IN SERVICES","OK")))))</x:f>
      </x:c>
    </x:row>
    <x:row r="333">
      <x:c r="D333" s="100" t="str">
        <x:f>IF(AND(A333="",B333=""),"",IF(A333="","CLIENT REQUIRED",IF(B333="","SERVICE REQUIRED",IF(COUNTIF(Clients!$A$5:$A$404,A333)=0,"CLIENT NOT FOUND",IF(COUNTIF(Services!$A$5:$A$104,B333)=0,"SERVICE NOT IN SERVICES","OK")))))</x:f>
      </x:c>
    </x:row>
    <x:row r="334">
      <x:c r="D334" s="100" t="str">
        <x:f>IF(AND(A334="",B334=""),"",IF(A334="","CLIENT REQUIRED",IF(B334="","SERVICE REQUIRED",IF(COUNTIF(Clients!$A$5:$A$404,A334)=0,"CLIENT NOT FOUND",IF(COUNTIF(Services!$A$5:$A$104,B334)=0,"SERVICE NOT IN SERVICES","OK")))))</x:f>
      </x:c>
    </x:row>
    <x:row r="335">
      <x:c r="D335" s="100" t="str">
        <x:f>IF(AND(A335="",B335=""),"",IF(A335="","CLIENT REQUIRED",IF(B335="","SERVICE REQUIRED",IF(COUNTIF(Clients!$A$5:$A$404,A335)=0,"CLIENT NOT FOUND",IF(COUNTIF(Services!$A$5:$A$104,B335)=0,"SERVICE NOT IN SERVICES","OK")))))</x:f>
      </x:c>
    </x:row>
    <x:row r="336">
      <x:c r="D336" s="100" t="str">
        <x:f>IF(AND(A336="",B336=""),"",IF(A336="","CLIENT REQUIRED",IF(B336="","SERVICE REQUIRED",IF(COUNTIF(Clients!$A$5:$A$404,A336)=0,"CLIENT NOT FOUND",IF(COUNTIF(Services!$A$5:$A$104,B336)=0,"SERVICE NOT IN SERVICES","OK")))))</x:f>
      </x:c>
    </x:row>
    <x:row r="337">
      <x:c r="D337" s="100" t="str">
        <x:f>IF(AND(A337="",B337=""),"",IF(A337="","CLIENT REQUIRED",IF(B337="","SERVICE REQUIRED",IF(COUNTIF(Clients!$A$5:$A$404,A337)=0,"CLIENT NOT FOUND",IF(COUNTIF(Services!$A$5:$A$104,B337)=0,"SERVICE NOT IN SERVICES","OK")))))</x:f>
      </x:c>
    </x:row>
    <x:row r="338">
      <x:c r="D338" s="100" t="str">
        <x:f>IF(AND(A338="",B338=""),"",IF(A338="","CLIENT REQUIRED",IF(B338="","SERVICE REQUIRED",IF(COUNTIF(Clients!$A$5:$A$404,A338)=0,"CLIENT NOT FOUND",IF(COUNTIF(Services!$A$5:$A$104,B338)=0,"SERVICE NOT IN SERVICES","OK")))))</x:f>
      </x:c>
    </x:row>
    <x:row r="339">
      <x:c r="D339" s="100" t="str">
        <x:f>IF(AND(A339="",B339=""),"",IF(A339="","CLIENT REQUIRED",IF(B339="","SERVICE REQUIRED",IF(COUNTIF(Clients!$A$5:$A$404,A339)=0,"CLIENT NOT FOUND",IF(COUNTIF(Services!$A$5:$A$104,B339)=0,"SERVICE NOT IN SERVICES","OK")))))</x:f>
      </x:c>
    </x:row>
    <x:row r="340">
      <x:c r="D340" s="100" t="str">
        <x:f>IF(AND(A340="",B340=""),"",IF(A340="","CLIENT REQUIRED",IF(B340="","SERVICE REQUIRED",IF(COUNTIF(Clients!$A$5:$A$404,A340)=0,"CLIENT NOT FOUND",IF(COUNTIF(Services!$A$5:$A$104,B340)=0,"SERVICE NOT IN SERVICES","OK")))))</x:f>
      </x:c>
    </x:row>
    <x:row r="341">
      <x:c r="D341" s="100" t="str">
        <x:f>IF(AND(A341="",B341=""),"",IF(A341="","CLIENT REQUIRED",IF(B341="","SERVICE REQUIRED",IF(COUNTIF(Clients!$A$5:$A$404,A341)=0,"CLIENT NOT FOUND",IF(COUNTIF(Services!$A$5:$A$104,B341)=0,"SERVICE NOT IN SERVICES","OK")))))</x:f>
      </x:c>
    </x:row>
    <x:row r="342">
      <x:c r="D342" s="100" t="str">
        <x:f>IF(AND(A342="",B342=""),"",IF(A342="","CLIENT REQUIRED",IF(B342="","SERVICE REQUIRED",IF(COUNTIF(Clients!$A$5:$A$404,A342)=0,"CLIENT NOT FOUND",IF(COUNTIF(Services!$A$5:$A$104,B342)=0,"SERVICE NOT IN SERVICES","OK")))))</x:f>
      </x:c>
    </x:row>
    <x:row r="343">
      <x:c r="D343" s="100" t="str">
        <x:f>IF(AND(A343="",B343=""),"",IF(A343="","CLIENT REQUIRED",IF(B343="","SERVICE REQUIRED",IF(COUNTIF(Clients!$A$5:$A$404,A343)=0,"CLIENT NOT FOUND",IF(COUNTIF(Services!$A$5:$A$104,B343)=0,"SERVICE NOT IN SERVICES","OK")))))</x:f>
      </x:c>
    </x:row>
    <x:row r="344">
      <x:c r="D344" s="100" t="str">
        <x:f>IF(AND(A344="",B344=""),"",IF(A344="","CLIENT REQUIRED",IF(B344="","SERVICE REQUIRED",IF(COUNTIF(Clients!$A$5:$A$404,A344)=0,"CLIENT NOT FOUND",IF(COUNTIF(Services!$A$5:$A$104,B344)=0,"SERVICE NOT IN SERVICES","OK")))))</x:f>
      </x:c>
    </x:row>
    <x:row r="345">
      <x:c r="D345" s="100" t="str">
        <x:f>IF(AND(A345="",B345=""),"",IF(A345="","CLIENT REQUIRED",IF(B345="","SERVICE REQUIRED",IF(COUNTIF(Clients!$A$5:$A$404,A345)=0,"CLIENT NOT FOUND",IF(COUNTIF(Services!$A$5:$A$104,B345)=0,"SERVICE NOT IN SERVICES","OK")))))</x:f>
      </x:c>
    </x:row>
    <x:row r="346">
      <x:c r="D346" s="100" t="str">
        <x:f>IF(AND(A346="",B346=""),"",IF(A346="","CLIENT REQUIRED",IF(B346="","SERVICE REQUIRED",IF(COUNTIF(Clients!$A$5:$A$404,A346)=0,"CLIENT NOT FOUND",IF(COUNTIF(Services!$A$5:$A$104,B346)=0,"SERVICE NOT IN SERVICES","OK")))))</x:f>
      </x:c>
    </x:row>
    <x:row r="347">
      <x:c r="D347" s="100" t="str">
        <x:f>IF(AND(A347="",B347=""),"",IF(A347="","CLIENT REQUIRED",IF(B347="","SERVICE REQUIRED",IF(COUNTIF(Clients!$A$5:$A$404,A347)=0,"CLIENT NOT FOUND",IF(COUNTIF(Services!$A$5:$A$104,B347)=0,"SERVICE NOT IN SERVICES","OK")))))</x:f>
      </x:c>
    </x:row>
    <x:row r="348">
      <x:c r="D348" s="100" t="str">
        <x:f>IF(AND(A348="",B348=""),"",IF(A348="","CLIENT REQUIRED",IF(B348="","SERVICE REQUIRED",IF(COUNTIF(Clients!$A$5:$A$404,A348)=0,"CLIENT NOT FOUND",IF(COUNTIF(Services!$A$5:$A$104,B348)=0,"SERVICE NOT IN SERVICES","OK")))))</x:f>
      </x:c>
    </x:row>
    <x:row r="349">
      <x:c r="D349" s="100" t="str">
        <x:f>IF(AND(A349="",B349=""),"",IF(A349="","CLIENT REQUIRED",IF(B349="","SERVICE REQUIRED",IF(COUNTIF(Clients!$A$5:$A$404,A349)=0,"CLIENT NOT FOUND",IF(COUNTIF(Services!$A$5:$A$104,B349)=0,"SERVICE NOT IN SERVICES","OK")))))</x:f>
      </x:c>
    </x:row>
    <x:row r="350">
      <x:c r="D350" s="100" t="str">
        <x:f>IF(AND(A350="",B350=""),"",IF(A350="","CLIENT REQUIRED",IF(B350="","SERVICE REQUIRED",IF(COUNTIF(Clients!$A$5:$A$404,A350)=0,"CLIENT NOT FOUND",IF(COUNTIF(Services!$A$5:$A$104,B350)=0,"SERVICE NOT IN SERVICES","OK")))))</x:f>
      </x:c>
    </x:row>
    <x:row r="351">
      <x:c r="D351" s="100" t="str">
        <x:f>IF(AND(A351="",B351=""),"",IF(A351="","CLIENT REQUIRED",IF(B351="","SERVICE REQUIRED",IF(COUNTIF(Clients!$A$5:$A$404,A351)=0,"CLIENT NOT FOUND",IF(COUNTIF(Services!$A$5:$A$104,B351)=0,"SERVICE NOT IN SERVICES","OK")))))</x:f>
      </x:c>
    </x:row>
    <x:row r="352">
      <x:c r="D352" s="100" t="str">
        <x:f>IF(AND(A352="",B352=""),"",IF(A352="","CLIENT REQUIRED",IF(B352="","SERVICE REQUIRED",IF(COUNTIF(Clients!$A$5:$A$404,A352)=0,"CLIENT NOT FOUND",IF(COUNTIF(Services!$A$5:$A$104,B352)=0,"SERVICE NOT IN SERVICES","OK")))))</x:f>
      </x:c>
    </x:row>
    <x:row r="353">
      <x:c r="D353" s="100" t="str">
        <x:f>IF(AND(A353="",B353=""),"",IF(A353="","CLIENT REQUIRED",IF(B353="","SERVICE REQUIRED",IF(COUNTIF(Clients!$A$5:$A$404,A353)=0,"CLIENT NOT FOUND",IF(COUNTIF(Services!$A$5:$A$104,B353)=0,"SERVICE NOT IN SERVICES","OK")))))</x:f>
      </x:c>
    </x:row>
    <x:row r="354">
      <x:c r="D354" s="100" t="str">
        <x:f>IF(AND(A354="",B354=""),"",IF(A354="","CLIENT REQUIRED",IF(B354="","SERVICE REQUIRED",IF(COUNTIF(Clients!$A$5:$A$404,A354)=0,"CLIENT NOT FOUND",IF(COUNTIF(Services!$A$5:$A$104,B354)=0,"SERVICE NOT IN SERVICES","OK")))))</x:f>
      </x:c>
    </x:row>
    <x:row r="355">
      <x:c r="D355" s="100" t="str">
        <x:f>IF(AND(A355="",B355=""),"",IF(A355="","CLIENT REQUIRED",IF(B355="","SERVICE REQUIRED",IF(COUNTIF(Clients!$A$5:$A$404,A355)=0,"CLIENT NOT FOUND",IF(COUNTIF(Services!$A$5:$A$104,B355)=0,"SERVICE NOT IN SERVICES","OK")))))</x:f>
      </x:c>
    </x:row>
    <x:row r="356">
      <x:c r="D356" s="100" t="str">
        <x:f>IF(AND(A356="",B356=""),"",IF(A356="","CLIENT REQUIRED",IF(B356="","SERVICE REQUIRED",IF(COUNTIF(Clients!$A$5:$A$404,A356)=0,"CLIENT NOT FOUND",IF(COUNTIF(Services!$A$5:$A$104,B356)=0,"SERVICE NOT IN SERVICES","OK")))))</x:f>
      </x:c>
    </x:row>
    <x:row r="357">
      <x:c r="D357" s="100" t="str">
        <x:f>IF(AND(A357="",B357=""),"",IF(A357="","CLIENT REQUIRED",IF(B357="","SERVICE REQUIRED",IF(COUNTIF(Clients!$A$5:$A$404,A357)=0,"CLIENT NOT FOUND",IF(COUNTIF(Services!$A$5:$A$104,B357)=0,"SERVICE NOT IN SERVICES","OK")))))</x:f>
      </x:c>
    </x:row>
    <x:row r="358">
      <x:c r="D358" s="100" t="str">
        <x:f>IF(AND(A358="",B358=""),"",IF(A358="","CLIENT REQUIRED",IF(B358="","SERVICE REQUIRED",IF(COUNTIF(Clients!$A$5:$A$404,A358)=0,"CLIENT NOT FOUND",IF(COUNTIF(Services!$A$5:$A$104,B358)=0,"SERVICE NOT IN SERVICES","OK")))))</x:f>
      </x:c>
    </x:row>
    <x:row r="359">
      <x:c r="D359" s="100" t="str">
        <x:f>IF(AND(A359="",B359=""),"",IF(A359="","CLIENT REQUIRED",IF(B359="","SERVICE REQUIRED",IF(COUNTIF(Clients!$A$5:$A$404,A359)=0,"CLIENT NOT FOUND",IF(COUNTIF(Services!$A$5:$A$104,B359)=0,"SERVICE NOT IN SERVICES","OK")))))</x:f>
      </x:c>
    </x:row>
    <x:row r="360">
      <x:c r="D360" s="100" t="str">
        <x:f>IF(AND(A360="",B360=""),"",IF(A360="","CLIENT REQUIRED",IF(B360="","SERVICE REQUIRED",IF(COUNTIF(Clients!$A$5:$A$404,A360)=0,"CLIENT NOT FOUND",IF(COUNTIF(Services!$A$5:$A$104,B360)=0,"SERVICE NOT IN SERVICES","OK")))))</x:f>
      </x:c>
    </x:row>
    <x:row r="361">
      <x:c r="D361" s="100" t="str">
        <x:f>IF(AND(A361="",B361=""),"",IF(A361="","CLIENT REQUIRED",IF(B361="","SERVICE REQUIRED",IF(COUNTIF(Clients!$A$5:$A$404,A361)=0,"CLIENT NOT FOUND",IF(COUNTIF(Services!$A$5:$A$104,B361)=0,"SERVICE NOT IN SERVICES","OK")))))</x:f>
      </x:c>
    </x:row>
    <x:row r="362">
      <x:c r="D362" s="100" t="str">
        <x:f>IF(AND(A362="",B362=""),"",IF(A362="","CLIENT REQUIRED",IF(B362="","SERVICE REQUIRED",IF(COUNTIF(Clients!$A$5:$A$404,A362)=0,"CLIENT NOT FOUND",IF(COUNTIF(Services!$A$5:$A$104,B362)=0,"SERVICE NOT IN SERVICES","OK")))))</x:f>
      </x:c>
    </x:row>
    <x:row r="363">
      <x:c r="D363" s="100" t="str">
        <x:f>IF(AND(A363="",B363=""),"",IF(A363="","CLIENT REQUIRED",IF(B363="","SERVICE REQUIRED",IF(COUNTIF(Clients!$A$5:$A$404,A363)=0,"CLIENT NOT FOUND",IF(COUNTIF(Services!$A$5:$A$104,B363)=0,"SERVICE NOT IN SERVICES","OK")))))</x:f>
      </x:c>
    </x:row>
    <x:row r="364">
      <x:c r="D364" s="100" t="str">
        <x:f>IF(AND(A364="",B364=""),"",IF(A364="","CLIENT REQUIRED",IF(B364="","SERVICE REQUIRED",IF(COUNTIF(Clients!$A$5:$A$404,A364)=0,"CLIENT NOT FOUND",IF(COUNTIF(Services!$A$5:$A$104,B364)=0,"SERVICE NOT IN SERVICES","OK")))))</x:f>
      </x:c>
    </x:row>
    <x:row r="365">
      <x:c r="D365" s="100" t="str">
        <x:f>IF(AND(A365="",B365=""),"",IF(A365="","CLIENT REQUIRED",IF(B365="","SERVICE REQUIRED",IF(COUNTIF(Clients!$A$5:$A$404,A365)=0,"CLIENT NOT FOUND",IF(COUNTIF(Services!$A$5:$A$104,B365)=0,"SERVICE NOT IN SERVICES","OK")))))</x:f>
      </x:c>
    </x:row>
    <x:row r="366">
      <x:c r="D366" s="100" t="str">
        <x:f>IF(AND(A366="",B366=""),"",IF(A366="","CLIENT REQUIRED",IF(B366="","SERVICE REQUIRED",IF(COUNTIF(Clients!$A$5:$A$404,A366)=0,"CLIENT NOT FOUND",IF(COUNTIF(Services!$A$5:$A$104,B366)=0,"SERVICE NOT IN SERVICES","OK")))))</x:f>
      </x:c>
    </x:row>
    <x:row r="367">
      <x:c r="D367" s="100" t="str">
        <x:f>IF(AND(A367="",B367=""),"",IF(A367="","CLIENT REQUIRED",IF(B367="","SERVICE REQUIRED",IF(COUNTIF(Clients!$A$5:$A$404,A367)=0,"CLIENT NOT FOUND",IF(COUNTIF(Services!$A$5:$A$104,B367)=0,"SERVICE NOT IN SERVICES","OK")))))</x:f>
      </x:c>
    </x:row>
    <x:row r="368">
      <x:c r="D368" s="100" t="str">
        <x:f>IF(AND(A368="",B368=""),"",IF(A368="","CLIENT REQUIRED",IF(B368="","SERVICE REQUIRED",IF(COUNTIF(Clients!$A$5:$A$404,A368)=0,"CLIENT NOT FOUND",IF(COUNTIF(Services!$A$5:$A$104,B368)=0,"SERVICE NOT IN SERVICES","OK")))))</x:f>
      </x:c>
    </x:row>
    <x:row r="369">
      <x:c r="D369" s="100" t="str">
        <x:f>IF(AND(A369="",B369=""),"",IF(A369="","CLIENT REQUIRED",IF(B369="","SERVICE REQUIRED",IF(COUNTIF(Clients!$A$5:$A$404,A369)=0,"CLIENT NOT FOUND",IF(COUNTIF(Services!$A$5:$A$104,B369)=0,"SERVICE NOT IN SERVICES","OK")))))</x:f>
      </x:c>
    </x:row>
    <x:row r="370">
      <x:c r="D370" s="100" t="str">
        <x:f>IF(AND(A370="",B370=""),"",IF(A370="","CLIENT REQUIRED",IF(B370="","SERVICE REQUIRED",IF(COUNTIF(Clients!$A$5:$A$404,A370)=0,"CLIENT NOT FOUND",IF(COUNTIF(Services!$A$5:$A$104,B370)=0,"SERVICE NOT IN SERVICES","OK")))))</x:f>
      </x:c>
    </x:row>
    <x:row r="371">
      <x:c r="D371" s="100" t="str">
        <x:f>IF(AND(A371="",B371=""),"",IF(A371="","CLIENT REQUIRED",IF(B371="","SERVICE REQUIRED",IF(COUNTIF(Clients!$A$5:$A$404,A371)=0,"CLIENT NOT FOUND",IF(COUNTIF(Services!$A$5:$A$104,B371)=0,"SERVICE NOT IN SERVICES","OK")))))</x:f>
      </x:c>
    </x:row>
    <x:row r="372">
      <x:c r="D372" s="100" t="str">
        <x:f>IF(AND(A372="",B372=""),"",IF(A372="","CLIENT REQUIRED",IF(B372="","SERVICE REQUIRED",IF(COUNTIF(Clients!$A$5:$A$404,A372)=0,"CLIENT NOT FOUND",IF(COUNTIF(Services!$A$5:$A$104,B372)=0,"SERVICE NOT IN SERVICES","OK")))))</x:f>
      </x:c>
    </x:row>
    <x:row r="373">
      <x:c r="D373" s="100" t="str">
        <x:f>IF(AND(A373="",B373=""),"",IF(A373="","CLIENT REQUIRED",IF(B373="","SERVICE REQUIRED",IF(COUNTIF(Clients!$A$5:$A$404,A373)=0,"CLIENT NOT FOUND",IF(COUNTIF(Services!$A$5:$A$104,B373)=0,"SERVICE NOT IN SERVICES","OK")))))</x:f>
      </x:c>
    </x:row>
    <x:row r="374">
      <x:c r="D374" s="100" t="str">
        <x:f>IF(AND(A374="",B374=""),"",IF(A374="","CLIENT REQUIRED",IF(B374="","SERVICE REQUIRED",IF(COUNTIF(Clients!$A$5:$A$404,A374)=0,"CLIENT NOT FOUND",IF(COUNTIF(Services!$A$5:$A$104,B374)=0,"SERVICE NOT IN SERVICES","OK")))))</x:f>
      </x:c>
    </x:row>
    <x:row r="375">
      <x:c r="D375" s="100" t="str">
        <x:f>IF(AND(A375="",B375=""),"",IF(A375="","CLIENT REQUIRED",IF(B375="","SERVICE REQUIRED",IF(COUNTIF(Clients!$A$5:$A$404,A375)=0,"CLIENT NOT FOUND",IF(COUNTIF(Services!$A$5:$A$104,B375)=0,"SERVICE NOT IN SERVICES","OK")))))</x:f>
      </x:c>
    </x:row>
    <x:row r="376">
      <x:c r="D376" s="100" t="str">
        <x:f>IF(AND(A376="",B376=""),"",IF(A376="","CLIENT REQUIRED",IF(B376="","SERVICE REQUIRED",IF(COUNTIF(Clients!$A$5:$A$404,A376)=0,"CLIENT NOT FOUND",IF(COUNTIF(Services!$A$5:$A$104,B376)=0,"SERVICE NOT IN SERVICES","OK")))))</x:f>
      </x:c>
    </x:row>
    <x:row r="377">
      <x:c r="D377" s="100" t="str">
        <x:f>IF(AND(A377="",B377=""),"",IF(A377="","CLIENT REQUIRED",IF(B377="","SERVICE REQUIRED",IF(COUNTIF(Clients!$A$5:$A$404,A377)=0,"CLIENT NOT FOUND",IF(COUNTIF(Services!$A$5:$A$104,B377)=0,"SERVICE NOT IN SERVICES","OK")))))</x:f>
      </x:c>
    </x:row>
    <x:row r="378">
      <x:c r="D378" s="100" t="str">
        <x:f>IF(AND(A378="",B378=""),"",IF(A378="","CLIENT REQUIRED",IF(B378="","SERVICE REQUIRED",IF(COUNTIF(Clients!$A$5:$A$404,A378)=0,"CLIENT NOT FOUND",IF(COUNTIF(Services!$A$5:$A$104,B378)=0,"SERVICE NOT IN SERVICES","OK")))))</x:f>
      </x:c>
    </x:row>
    <x:row r="379">
      <x:c r="D379" s="100" t="str">
        <x:f>IF(AND(A379="",B379=""),"",IF(A379="","CLIENT REQUIRED",IF(B379="","SERVICE REQUIRED",IF(COUNTIF(Clients!$A$5:$A$404,A379)=0,"CLIENT NOT FOUND",IF(COUNTIF(Services!$A$5:$A$104,B379)=0,"SERVICE NOT IN SERVICES","OK")))))</x:f>
      </x:c>
    </x:row>
    <x:row r="380">
      <x:c r="D380" s="100" t="str">
        <x:f>IF(AND(A380="",B380=""),"",IF(A380="","CLIENT REQUIRED",IF(B380="","SERVICE REQUIRED",IF(COUNTIF(Clients!$A$5:$A$404,A380)=0,"CLIENT NOT FOUND",IF(COUNTIF(Services!$A$5:$A$104,B380)=0,"SERVICE NOT IN SERVICES","OK")))))</x:f>
      </x:c>
    </x:row>
    <x:row r="381">
      <x:c r="D381" s="100" t="str">
        <x:f>IF(AND(A381="",B381=""),"",IF(A381="","CLIENT REQUIRED",IF(B381="","SERVICE REQUIRED",IF(COUNTIF(Clients!$A$5:$A$404,A381)=0,"CLIENT NOT FOUND",IF(COUNTIF(Services!$A$5:$A$104,B381)=0,"SERVICE NOT IN SERVICES","OK")))))</x:f>
      </x:c>
    </x:row>
    <x:row r="382">
      <x:c r="D382" s="100" t="str">
        <x:f>IF(AND(A382="",B382=""),"",IF(A382="","CLIENT REQUIRED",IF(B382="","SERVICE REQUIRED",IF(COUNTIF(Clients!$A$5:$A$404,A382)=0,"CLIENT NOT FOUND",IF(COUNTIF(Services!$A$5:$A$104,B382)=0,"SERVICE NOT IN SERVICES","OK")))))</x:f>
      </x:c>
    </x:row>
    <x:row r="383">
      <x:c r="D383" s="100" t="str">
        <x:f>IF(AND(A383="",B383=""),"",IF(A383="","CLIENT REQUIRED",IF(B383="","SERVICE REQUIRED",IF(COUNTIF(Clients!$A$5:$A$404,A383)=0,"CLIENT NOT FOUND",IF(COUNTIF(Services!$A$5:$A$104,B383)=0,"SERVICE NOT IN SERVICES","OK")))))</x:f>
      </x:c>
    </x:row>
    <x:row r="384">
      <x:c r="D384" s="100" t="str">
        <x:f>IF(AND(A384="",B384=""),"",IF(A384="","CLIENT REQUIRED",IF(B384="","SERVICE REQUIRED",IF(COUNTIF(Clients!$A$5:$A$404,A384)=0,"CLIENT NOT FOUND",IF(COUNTIF(Services!$A$5:$A$104,B384)=0,"SERVICE NOT IN SERVICES","OK")))))</x:f>
      </x:c>
    </x:row>
    <x:row r="385">
      <x:c r="D385" s="100" t="str">
        <x:f>IF(AND(A385="",B385=""),"",IF(A385="","CLIENT REQUIRED",IF(B385="","SERVICE REQUIRED",IF(COUNTIF(Clients!$A$5:$A$404,A385)=0,"CLIENT NOT FOUND",IF(COUNTIF(Services!$A$5:$A$104,B385)=0,"SERVICE NOT IN SERVICES","OK")))))</x:f>
      </x:c>
    </x:row>
    <x:row r="386">
      <x:c r="D386" s="100" t="str">
        <x:f>IF(AND(A386="",B386=""),"",IF(A386="","CLIENT REQUIRED",IF(B386="","SERVICE REQUIRED",IF(COUNTIF(Clients!$A$5:$A$404,A386)=0,"CLIENT NOT FOUND",IF(COUNTIF(Services!$A$5:$A$104,B386)=0,"SERVICE NOT IN SERVICES","OK")))))</x:f>
      </x:c>
    </x:row>
    <x:row r="387">
      <x:c r="D387" s="100" t="str">
        <x:f>IF(AND(A387="",B387=""),"",IF(A387="","CLIENT REQUIRED",IF(B387="","SERVICE REQUIRED",IF(COUNTIF(Clients!$A$5:$A$404,A387)=0,"CLIENT NOT FOUND",IF(COUNTIF(Services!$A$5:$A$104,B387)=0,"SERVICE NOT IN SERVICES","OK")))))</x:f>
      </x:c>
    </x:row>
    <x:row r="388">
      <x:c r="D388" s="100" t="str">
        <x:f>IF(AND(A388="",B388=""),"",IF(A388="","CLIENT REQUIRED",IF(B388="","SERVICE REQUIRED",IF(COUNTIF(Clients!$A$5:$A$404,A388)=0,"CLIENT NOT FOUND",IF(COUNTIF(Services!$A$5:$A$104,B388)=0,"SERVICE NOT IN SERVICES","OK")))))</x:f>
      </x:c>
    </x:row>
    <x:row r="389">
      <x:c r="D389" s="100" t="str">
        <x:f>IF(AND(A389="",B389=""),"",IF(A389="","CLIENT REQUIRED",IF(B389="","SERVICE REQUIRED",IF(COUNTIF(Clients!$A$5:$A$404,A389)=0,"CLIENT NOT FOUND",IF(COUNTIF(Services!$A$5:$A$104,B389)=0,"SERVICE NOT IN SERVICES","OK")))))</x:f>
      </x:c>
    </x:row>
    <x:row r="390">
      <x:c r="D390" s="100" t="str">
        <x:f>IF(AND(A390="",B390=""),"",IF(A390="","CLIENT REQUIRED",IF(B390="","SERVICE REQUIRED",IF(COUNTIF(Clients!$A$5:$A$404,A390)=0,"CLIENT NOT FOUND",IF(COUNTIF(Services!$A$5:$A$104,B390)=0,"SERVICE NOT IN SERVICES","OK")))))</x:f>
      </x:c>
    </x:row>
    <x:row r="391">
      <x:c r="D391" s="100" t="str">
        <x:f>IF(AND(A391="",B391=""),"",IF(A391="","CLIENT REQUIRED",IF(B391="","SERVICE REQUIRED",IF(COUNTIF(Clients!$A$5:$A$404,A391)=0,"CLIENT NOT FOUND",IF(COUNTIF(Services!$A$5:$A$104,B391)=0,"SERVICE NOT IN SERVICES","OK")))))</x:f>
      </x:c>
    </x:row>
    <x:row r="392">
      <x:c r="D392" s="100" t="str">
        <x:f>IF(AND(A392="",B392=""),"",IF(A392="","CLIENT REQUIRED",IF(B392="","SERVICE REQUIRED",IF(COUNTIF(Clients!$A$5:$A$404,A392)=0,"CLIENT NOT FOUND",IF(COUNTIF(Services!$A$5:$A$104,B392)=0,"SERVICE NOT IN SERVICES","OK")))))</x:f>
      </x:c>
    </x:row>
    <x:row r="393">
      <x:c r="D393" s="100" t="str">
        <x:f>IF(AND(A393="",B393=""),"",IF(A393="","CLIENT REQUIRED",IF(B393="","SERVICE REQUIRED",IF(COUNTIF(Clients!$A$5:$A$404,A393)=0,"CLIENT NOT FOUND",IF(COUNTIF(Services!$A$5:$A$104,B393)=0,"SERVICE NOT IN SERVICES","OK")))))</x:f>
      </x:c>
    </x:row>
    <x:row r="394">
      <x:c r="D394" s="100" t="str">
        <x:f>IF(AND(A394="",B394=""),"",IF(A394="","CLIENT REQUIRED",IF(B394="","SERVICE REQUIRED",IF(COUNTIF(Clients!$A$5:$A$404,A394)=0,"CLIENT NOT FOUND",IF(COUNTIF(Services!$A$5:$A$104,B394)=0,"SERVICE NOT IN SERVICES","OK")))))</x:f>
      </x:c>
    </x:row>
    <x:row r="395">
      <x:c r="D395" s="100" t="str">
        <x:f>IF(AND(A395="",B395=""),"",IF(A395="","CLIENT REQUIRED",IF(B395="","SERVICE REQUIRED",IF(COUNTIF(Clients!$A$5:$A$404,A395)=0,"CLIENT NOT FOUND",IF(COUNTIF(Services!$A$5:$A$104,B395)=0,"SERVICE NOT IN SERVICES","OK")))))</x:f>
      </x:c>
    </x:row>
    <x:row r="396">
      <x:c r="D396" s="100" t="str">
        <x:f>IF(AND(A396="",B396=""),"",IF(A396="","CLIENT REQUIRED",IF(B396="","SERVICE REQUIRED",IF(COUNTIF(Clients!$A$5:$A$404,A396)=0,"CLIENT NOT FOUND",IF(COUNTIF(Services!$A$5:$A$104,B396)=0,"SERVICE NOT IN SERVICES","OK")))))</x:f>
      </x:c>
    </x:row>
    <x:row r="397">
      <x:c r="D397" s="100" t="str">
        <x:f>IF(AND(A397="",B397=""),"",IF(A397="","CLIENT REQUIRED",IF(B397="","SERVICE REQUIRED",IF(COUNTIF(Clients!$A$5:$A$404,A397)=0,"CLIENT NOT FOUND",IF(COUNTIF(Services!$A$5:$A$104,B397)=0,"SERVICE NOT IN SERVICES","OK")))))</x:f>
      </x:c>
    </x:row>
    <x:row r="398">
      <x:c r="D398" s="100" t="str">
        <x:f>IF(AND(A398="",B398=""),"",IF(A398="","CLIENT REQUIRED",IF(B398="","SERVICE REQUIRED",IF(COUNTIF(Clients!$A$5:$A$404,A398)=0,"CLIENT NOT FOUND",IF(COUNTIF(Services!$A$5:$A$104,B398)=0,"SERVICE NOT IN SERVICES","OK")))))</x:f>
      </x:c>
    </x:row>
    <x:row r="399">
      <x:c r="D399" s="100" t="str">
        <x:f>IF(AND(A399="",B399=""),"",IF(A399="","CLIENT REQUIRED",IF(B399="","SERVICE REQUIRED",IF(COUNTIF(Clients!$A$5:$A$404,A399)=0,"CLIENT NOT FOUND",IF(COUNTIF(Services!$A$5:$A$104,B399)=0,"SERVICE NOT IN SERVICES","OK")))))</x:f>
      </x:c>
    </x:row>
    <x:row r="400">
      <x:c r="D400" s="100" t="str">
        <x:f>IF(AND(A400="",B400=""),"",IF(A400="","CLIENT REQUIRED",IF(B400="","SERVICE REQUIRED",IF(COUNTIF(Clients!$A$5:$A$404,A400)=0,"CLIENT NOT FOUND",IF(COUNTIF(Services!$A$5:$A$104,B400)=0,"SERVICE NOT IN SERVICES","OK")))))</x:f>
      </x:c>
    </x:row>
    <x:row r="401">
      <x:c r="D401" s="100" t="str">
        <x:f>IF(AND(A401="",B401=""),"",IF(A401="","CLIENT REQUIRED",IF(B401="","SERVICE REQUIRED",IF(COUNTIF(Clients!$A$5:$A$404,A401)=0,"CLIENT NOT FOUND",IF(COUNTIF(Services!$A$5:$A$104,B401)=0,"SERVICE NOT IN SERVICES","OK")))))</x:f>
      </x:c>
    </x:row>
    <x:row r="402">
      <x:c r="D402" s="100" t="str">
        <x:f>IF(AND(A402="",B402=""),"",IF(A402="","CLIENT REQUIRED",IF(B402="","SERVICE REQUIRED",IF(COUNTIF(Clients!$A$5:$A$404,A402)=0,"CLIENT NOT FOUND",IF(COUNTIF(Services!$A$5:$A$104,B402)=0,"SERVICE NOT IN SERVICES","OK")))))</x:f>
      </x:c>
    </x:row>
    <x:row r="403">
      <x:c r="D403" s="100" t="str">
        <x:f>IF(AND(A403="",B403=""),"",IF(A403="","CLIENT REQUIRED",IF(B403="","SERVICE REQUIRED",IF(COUNTIF(Clients!$A$5:$A$404,A403)=0,"CLIENT NOT FOUND",IF(COUNTIF(Services!$A$5:$A$104,B403)=0,"SERVICE NOT IN SERVICES","OK")))))</x:f>
      </x:c>
    </x:row>
    <x:row r="404">
      <x:c r="D404" s="100" t="str">
        <x:f>IF(AND(A404="",B404=""),"",IF(A404="","CLIENT REQUIRED",IF(B404="","SERVICE REQUIRED",IF(COUNTIF(Clients!$A$5:$A$404,A404)=0,"CLIENT NOT FOUND",IF(COUNTIF(Services!$A$5:$A$104,B404)=0,"SERVICE NOT IN SERVICES","OK")))))</x:f>
      </x:c>
    </x:row>
    <x:row r="405">
      <x:c r="D405" s="100" t="str">
        <x:f>IF(AND(A405="",B405=""),"",IF(A405="","CLIENT REQUIRED",IF(B405="","SERVICE REQUIRED",IF(COUNTIF(Clients!$A$5:$A$404,A405)=0,"CLIENT NOT FOUND",IF(COUNTIF(Services!$A$5:$A$104,B405)=0,"SERVICE NOT IN SERVICES","OK")))))</x:f>
      </x:c>
    </x:row>
    <x:row r="406">
      <x:c r="D406" s="100" t="str">
        <x:f>IF(AND(A406="",B406=""),"",IF(A406="","CLIENT REQUIRED",IF(B406="","SERVICE REQUIRED",IF(COUNTIF(Clients!$A$5:$A$404,A406)=0,"CLIENT NOT FOUND",IF(COUNTIF(Services!$A$5:$A$104,B406)=0,"SERVICE NOT IN SERVICES","OK")))))</x:f>
      </x:c>
    </x:row>
    <x:row r="407">
      <x:c r="D407" s="100" t="str">
        <x:f>IF(AND(A407="",B407=""),"",IF(A407="","CLIENT REQUIRED",IF(B407="","SERVICE REQUIRED",IF(COUNTIF(Clients!$A$5:$A$404,A407)=0,"CLIENT NOT FOUND",IF(COUNTIF(Services!$A$5:$A$104,B407)=0,"SERVICE NOT IN SERVICES","OK")))))</x:f>
      </x:c>
    </x:row>
    <x:row r="408">
      <x:c r="D408" s="100" t="str">
        <x:f>IF(AND(A408="",B408=""),"",IF(A408="","CLIENT REQUIRED",IF(B408="","SERVICE REQUIRED",IF(COUNTIF(Clients!$A$5:$A$404,A408)=0,"CLIENT NOT FOUND",IF(COUNTIF(Services!$A$5:$A$104,B408)=0,"SERVICE NOT IN SERVICES","OK")))))</x:f>
      </x:c>
    </x:row>
    <x:row r="409">
      <x:c r="D409" s="100" t="str">
        <x:f>IF(AND(A409="",B409=""),"",IF(A409="","CLIENT REQUIRED",IF(B409="","SERVICE REQUIRED",IF(COUNTIF(Clients!$A$5:$A$404,A409)=0,"CLIENT NOT FOUND",IF(COUNTIF(Services!$A$5:$A$104,B409)=0,"SERVICE NOT IN SERVICES","OK")))))</x:f>
      </x:c>
    </x:row>
    <x:row r="410">
      <x:c r="D410" s="100" t="str">
        <x:f>IF(AND(A410="",B410=""),"",IF(A410="","CLIENT REQUIRED",IF(B410="","SERVICE REQUIRED",IF(COUNTIF(Clients!$A$5:$A$404,A410)=0,"CLIENT NOT FOUND",IF(COUNTIF(Services!$A$5:$A$104,B410)=0,"SERVICE NOT IN SERVICES","OK")))))</x:f>
      </x:c>
    </x:row>
    <x:row r="411">
      <x:c r="D411" s="100" t="str">
        <x:f>IF(AND(A411="",B411=""),"",IF(A411="","CLIENT REQUIRED",IF(B411="","SERVICE REQUIRED",IF(COUNTIF(Clients!$A$5:$A$404,A411)=0,"CLIENT NOT FOUND",IF(COUNTIF(Services!$A$5:$A$104,B411)=0,"SERVICE NOT IN SERVICES","OK")))))</x:f>
      </x:c>
    </x:row>
    <x:row r="412">
      <x:c r="D412" s="100" t="str">
        <x:f>IF(AND(A412="",B412=""),"",IF(A412="","CLIENT REQUIRED",IF(B412="","SERVICE REQUIRED",IF(COUNTIF(Clients!$A$5:$A$404,A412)=0,"CLIENT NOT FOUND",IF(COUNTIF(Services!$A$5:$A$104,B412)=0,"SERVICE NOT IN SERVICES","OK")))))</x:f>
      </x:c>
    </x:row>
    <x:row r="413">
      <x:c r="D413" s="100" t="str">
        <x:f>IF(AND(A413="",B413=""),"",IF(A413="","CLIENT REQUIRED",IF(B413="","SERVICE REQUIRED",IF(COUNTIF(Clients!$A$5:$A$404,A413)=0,"CLIENT NOT FOUND",IF(COUNTIF(Services!$A$5:$A$104,B413)=0,"SERVICE NOT IN SERVICES","OK")))))</x:f>
      </x:c>
    </x:row>
    <x:row r="414">
      <x:c r="D414" s="100" t="str">
        <x:f>IF(AND(A414="",B414=""),"",IF(A414="","CLIENT REQUIRED",IF(B414="","SERVICE REQUIRED",IF(COUNTIF(Clients!$A$5:$A$404,A414)=0,"CLIENT NOT FOUND",IF(COUNTIF(Services!$A$5:$A$104,B414)=0,"SERVICE NOT IN SERVICES","OK")))))</x:f>
      </x:c>
    </x:row>
    <x:row r="415">
      <x:c r="D415" s="100" t="str">
        <x:f>IF(AND(A415="",B415=""),"",IF(A415="","CLIENT REQUIRED",IF(B415="","SERVICE REQUIRED",IF(COUNTIF(Clients!$A$5:$A$404,A415)=0,"CLIENT NOT FOUND",IF(COUNTIF(Services!$A$5:$A$104,B415)=0,"SERVICE NOT IN SERVICES","OK")))))</x:f>
      </x:c>
    </x:row>
    <x:row r="416">
      <x:c r="D416" s="100" t="str">
        <x:f>IF(AND(A416="",B416=""),"",IF(A416="","CLIENT REQUIRED",IF(B416="","SERVICE REQUIRED",IF(COUNTIF(Clients!$A$5:$A$404,A416)=0,"CLIENT NOT FOUND",IF(COUNTIF(Services!$A$5:$A$104,B416)=0,"SERVICE NOT IN SERVICES","OK")))))</x:f>
      </x:c>
    </x:row>
    <x:row r="417">
      <x:c r="D417" s="100" t="str">
        <x:f>IF(AND(A417="",B417=""),"",IF(A417="","CLIENT REQUIRED",IF(B417="","SERVICE REQUIRED",IF(COUNTIF(Clients!$A$5:$A$404,A417)=0,"CLIENT NOT FOUND",IF(COUNTIF(Services!$A$5:$A$104,B417)=0,"SERVICE NOT IN SERVICES","OK")))))</x:f>
      </x:c>
    </x:row>
    <x:row r="418">
      <x:c r="D418" s="100" t="str">
        <x:f>IF(AND(A418="",B418=""),"",IF(A418="","CLIENT REQUIRED",IF(B418="","SERVICE REQUIRED",IF(COUNTIF(Clients!$A$5:$A$404,A418)=0,"CLIENT NOT FOUND",IF(COUNTIF(Services!$A$5:$A$104,B418)=0,"SERVICE NOT IN SERVICES","OK")))))</x:f>
      </x:c>
    </x:row>
    <x:row r="419">
      <x:c r="D419" s="100" t="str">
        <x:f>IF(AND(A419="",B419=""),"",IF(A419="","CLIENT REQUIRED",IF(B419="","SERVICE REQUIRED",IF(COUNTIF(Clients!$A$5:$A$404,A419)=0,"CLIENT NOT FOUND",IF(COUNTIF(Services!$A$5:$A$104,B419)=0,"SERVICE NOT IN SERVICES","OK")))))</x:f>
      </x:c>
    </x:row>
    <x:row r="420">
      <x:c r="D420" s="100" t="str">
        <x:f>IF(AND(A420="",B420=""),"",IF(A420="","CLIENT REQUIRED",IF(B420="","SERVICE REQUIRED",IF(COUNTIF(Clients!$A$5:$A$404,A420)=0,"CLIENT NOT FOUND",IF(COUNTIF(Services!$A$5:$A$104,B420)=0,"SERVICE NOT IN SERVICES","OK")))))</x:f>
      </x:c>
    </x:row>
    <x:row r="421">
      <x:c r="D421" s="100" t="str">
        <x:f>IF(AND(A421="",B421=""),"",IF(A421="","CLIENT REQUIRED",IF(B421="","SERVICE REQUIRED",IF(COUNTIF(Clients!$A$5:$A$404,A421)=0,"CLIENT NOT FOUND",IF(COUNTIF(Services!$A$5:$A$104,B421)=0,"SERVICE NOT IN SERVICES","OK")))))</x:f>
      </x:c>
    </x:row>
    <x:row r="422">
      <x:c r="D422" s="100" t="str">
        <x:f>IF(AND(A422="",B422=""),"",IF(A422="","CLIENT REQUIRED",IF(B422="","SERVICE REQUIRED",IF(COUNTIF(Clients!$A$5:$A$404,A422)=0,"CLIENT NOT FOUND",IF(COUNTIF(Services!$A$5:$A$104,B422)=0,"SERVICE NOT IN SERVICES","OK")))))</x:f>
      </x:c>
    </x:row>
    <x:row r="423">
      <x:c r="D423" s="100" t="str">
        <x:f>IF(AND(A423="",B423=""),"",IF(A423="","CLIENT REQUIRED",IF(B423="","SERVICE REQUIRED",IF(COUNTIF(Clients!$A$5:$A$404,A423)=0,"CLIENT NOT FOUND",IF(COUNTIF(Services!$A$5:$A$104,B423)=0,"SERVICE NOT IN SERVICES","OK")))))</x:f>
      </x:c>
    </x:row>
    <x:row r="424">
      <x:c r="D424" s="100" t="str">
        <x:f>IF(AND(A424="",B424=""),"",IF(A424="","CLIENT REQUIRED",IF(B424="","SERVICE REQUIRED",IF(COUNTIF(Clients!$A$5:$A$404,A424)=0,"CLIENT NOT FOUND",IF(COUNTIF(Services!$A$5:$A$104,B424)=0,"SERVICE NOT IN SERVICES","OK")))))</x:f>
      </x:c>
    </x:row>
    <x:row r="425">
      <x:c r="D425" s="100" t="str">
        <x:f>IF(AND(A425="",B425=""),"",IF(A425="","CLIENT REQUIRED",IF(B425="","SERVICE REQUIRED",IF(COUNTIF(Clients!$A$5:$A$404,A425)=0,"CLIENT NOT FOUND",IF(COUNTIF(Services!$A$5:$A$104,B425)=0,"SERVICE NOT IN SERVICES","OK")))))</x:f>
      </x:c>
    </x:row>
    <x:row r="426">
      <x:c r="D426" s="100" t="str">
        <x:f>IF(AND(A426="",B426=""),"",IF(A426="","CLIENT REQUIRED",IF(B426="","SERVICE REQUIRED",IF(COUNTIF(Clients!$A$5:$A$404,A426)=0,"CLIENT NOT FOUND",IF(COUNTIF(Services!$A$5:$A$104,B426)=0,"SERVICE NOT IN SERVICES","OK")))))</x:f>
      </x:c>
    </x:row>
    <x:row r="427">
      <x:c r="D427" s="100" t="str">
        <x:f>IF(AND(A427="",B427=""),"",IF(A427="","CLIENT REQUIRED",IF(B427="","SERVICE REQUIRED",IF(COUNTIF(Clients!$A$5:$A$404,A427)=0,"CLIENT NOT FOUND",IF(COUNTIF(Services!$A$5:$A$104,B427)=0,"SERVICE NOT IN SERVICES","OK")))))</x:f>
      </x:c>
    </x:row>
    <x:row r="428">
      <x:c r="D428" s="100" t="str">
        <x:f>IF(AND(A428="",B428=""),"",IF(A428="","CLIENT REQUIRED",IF(B428="","SERVICE REQUIRED",IF(COUNTIF(Clients!$A$5:$A$404,A428)=0,"CLIENT NOT FOUND",IF(COUNTIF(Services!$A$5:$A$104,B428)=0,"SERVICE NOT IN SERVICES","OK")))))</x:f>
      </x:c>
    </x:row>
    <x:row r="429">
      <x:c r="D429" s="100" t="str">
        <x:f>IF(AND(A429="",B429=""),"",IF(A429="","CLIENT REQUIRED",IF(B429="","SERVICE REQUIRED",IF(COUNTIF(Clients!$A$5:$A$404,A429)=0,"CLIENT NOT FOUND",IF(COUNTIF(Services!$A$5:$A$104,B429)=0,"SERVICE NOT IN SERVICES","OK")))))</x:f>
      </x:c>
    </x:row>
    <x:row r="430">
      <x:c r="D430" s="100" t="str">
        <x:f>IF(AND(A430="",B430=""),"",IF(A430="","CLIENT REQUIRED",IF(B430="","SERVICE REQUIRED",IF(COUNTIF(Clients!$A$5:$A$404,A430)=0,"CLIENT NOT FOUND",IF(COUNTIF(Services!$A$5:$A$104,B430)=0,"SERVICE NOT IN SERVICES","OK")))))</x:f>
      </x:c>
    </x:row>
    <x:row r="431">
      <x:c r="D431" s="100" t="str">
        <x:f>IF(AND(A431="",B431=""),"",IF(A431="","CLIENT REQUIRED",IF(B431="","SERVICE REQUIRED",IF(COUNTIF(Clients!$A$5:$A$404,A431)=0,"CLIENT NOT FOUND",IF(COUNTIF(Services!$A$5:$A$104,B431)=0,"SERVICE NOT IN SERVICES","OK")))))</x:f>
      </x:c>
    </x:row>
    <x:row r="432">
      <x:c r="D432" s="100" t="str">
        <x:f>IF(AND(A432="",B432=""),"",IF(A432="","CLIENT REQUIRED",IF(B432="","SERVICE REQUIRED",IF(COUNTIF(Clients!$A$5:$A$404,A432)=0,"CLIENT NOT FOUND",IF(COUNTIF(Services!$A$5:$A$104,B432)=0,"SERVICE NOT IN SERVICES","OK")))))</x:f>
      </x:c>
    </x:row>
    <x:row r="433">
      <x:c r="D433" s="100" t="str">
        <x:f>IF(AND(A433="",B433=""),"",IF(A433="","CLIENT REQUIRED",IF(B433="","SERVICE REQUIRED",IF(COUNTIF(Clients!$A$5:$A$404,A433)=0,"CLIENT NOT FOUND",IF(COUNTIF(Services!$A$5:$A$104,B433)=0,"SERVICE NOT IN SERVICES","OK")))))</x:f>
      </x:c>
    </x:row>
    <x:row r="434">
      <x:c r="D434" s="100" t="str">
        <x:f>IF(AND(A434="",B434=""),"",IF(A434="","CLIENT REQUIRED",IF(B434="","SERVICE REQUIRED",IF(COUNTIF(Clients!$A$5:$A$404,A434)=0,"CLIENT NOT FOUND",IF(COUNTIF(Services!$A$5:$A$104,B434)=0,"SERVICE NOT IN SERVICES","OK")))))</x:f>
      </x:c>
    </x:row>
    <x:row r="435">
      <x:c r="D435" s="100" t="str">
        <x:f>IF(AND(A435="",B435=""),"",IF(A435="","CLIENT REQUIRED",IF(B435="","SERVICE REQUIRED",IF(COUNTIF(Clients!$A$5:$A$404,A435)=0,"CLIENT NOT FOUND",IF(COUNTIF(Services!$A$5:$A$104,B435)=0,"SERVICE NOT IN SERVICES","OK")))))</x:f>
      </x:c>
    </x:row>
    <x:row r="436">
      <x:c r="D436" s="100" t="str">
        <x:f>IF(AND(A436="",B436=""),"",IF(A436="","CLIENT REQUIRED",IF(B436="","SERVICE REQUIRED",IF(COUNTIF(Clients!$A$5:$A$404,A436)=0,"CLIENT NOT FOUND",IF(COUNTIF(Services!$A$5:$A$104,B436)=0,"SERVICE NOT IN SERVICES","OK")))))</x:f>
      </x:c>
    </x:row>
    <x:row r="437">
      <x:c r="D437" s="100" t="str">
        <x:f>IF(AND(A437="",B437=""),"",IF(A437="","CLIENT REQUIRED",IF(B437="","SERVICE REQUIRED",IF(COUNTIF(Clients!$A$5:$A$404,A437)=0,"CLIENT NOT FOUND",IF(COUNTIF(Services!$A$5:$A$104,B437)=0,"SERVICE NOT IN SERVICES","OK")))))</x:f>
      </x:c>
    </x:row>
    <x:row r="438">
      <x:c r="D438" s="100" t="str">
        <x:f>IF(AND(A438="",B438=""),"",IF(A438="","CLIENT REQUIRED",IF(B438="","SERVICE REQUIRED",IF(COUNTIF(Clients!$A$5:$A$404,A438)=0,"CLIENT NOT FOUND",IF(COUNTIF(Services!$A$5:$A$104,B438)=0,"SERVICE NOT IN SERVICES","OK")))))</x:f>
      </x:c>
    </x:row>
    <x:row r="439">
      <x:c r="D439" s="100" t="str">
        <x:f>IF(AND(A439="",B439=""),"",IF(A439="","CLIENT REQUIRED",IF(B439="","SERVICE REQUIRED",IF(COUNTIF(Clients!$A$5:$A$404,A439)=0,"CLIENT NOT FOUND",IF(COUNTIF(Services!$A$5:$A$104,B439)=0,"SERVICE NOT IN SERVICES","OK")))))</x:f>
      </x:c>
    </x:row>
    <x:row r="440">
      <x:c r="D440" s="100" t="str">
        <x:f>IF(AND(A440="",B440=""),"",IF(A440="","CLIENT REQUIRED",IF(B440="","SERVICE REQUIRED",IF(COUNTIF(Clients!$A$5:$A$404,A440)=0,"CLIENT NOT FOUND",IF(COUNTIF(Services!$A$5:$A$104,B440)=0,"SERVICE NOT IN SERVICES","OK")))))</x:f>
      </x:c>
    </x:row>
    <x:row r="441">
      <x:c r="D441" s="100" t="str">
        <x:f>IF(AND(A441="",B441=""),"",IF(A441="","CLIENT REQUIRED",IF(B441="","SERVICE REQUIRED",IF(COUNTIF(Clients!$A$5:$A$404,A441)=0,"CLIENT NOT FOUND",IF(COUNTIF(Services!$A$5:$A$104,B441)=0,"SERVICE NOT IN SERVICES","OK")))))</x:f>
      </x:c>
    </x:row>
    <x:row r="442">
      <x:c r="D442" s="100" t="str">
        <x:f>IF(AND(A442="",B442=""),"",IF(A442="","CLIENT REQUIRED",IF(B442="","SERVICE REQUIRED",IF(COUNTIF(Clients!$A$5:$A$404,A442)=0,"CLIENT NOT FOUND",IF(COUNTIF(Services!$A$5:$A$104,B442)=0,"SERVICE NOT IN SERVICES","OK")))))</x:f>
      </x:c>
    </x:row>
    <x:row r="443">
      <x:c r="D443" s="100" t="str">
        <x:f>IF(AND(A443="",B443=""),"",IF(A443="","CLIENT REQUIRED",IF(B443="","SERVICE REQUIRED",IF(COUNTIF(Clients!$A$5:$A$404,A443)=0,"CLIENT NOT FOUND",IF(COUNTIF(Services!$A$5:$A$104,B443)=0,"SERVICE NOT IN SERVICES","OK")))))</x:f>
      </x:c>
    </x:row>
    <x:row r="444">
      <x:c r="D444" s="100" t="str">
        <x:f>IF(AND(A444="",B444=""),"",IF(A444="","CLIENT REQUIRED",IF(B444="","SERVICE REQUIRED",IF(COUNTIF(Clients!$A$5:$A$404,A444)=0,"CLIENT NOT FOUND",IF(COUNTIF(Services!$A$5:$A$104,B444)=0,"SERVICE NOT IN SERVICES","OK")))))</x:f>
      </x:c>
    </x:row>
    <x:row r="445">
      <x:c r="D445" s="100" t="str">
        <x:f>IF(AND(A445="",B445=""),"",IF(A445="","CLIENT REQUIRED",IF(B445="","SERVICE REQUIRED",IF(COUNTIF(Clients!$A$5:$A$404,A445)=0,"CLIENT NOT FOUND",IF(COUNTIF(Services!$A$5:$A$104,B445)=0,"SERVICE NOT IN SERVICES","OK")))))</x:f>
      </x:c>
    </x:row>
    <x:row r="446">
      <x:c r="D446" s="100" t="str">
        <x:f>IF(AND(A446="",B446=""),"",IF(A446="","CLIENT REQUIRED",IF(B446="","SERVICE REQUIRED",IF(COUNTIF(Clients!$A$5:$A$404,A446)=0,"CLIENT NOT FOUND",IF(COUNTIF(Services!$A$5:$A$104,B446)=0,"SERVICE NOT IN SERVICES","OK")))))</x:f>
      </x:c>
    </x:row>
    <x:row r="447">
      <x:c r="D447" s="100" t="str">
        <x:f>IF(AND(A447="",B447=""),"",IF(A447="","CLIENT REQUIRED",IF(B447="","SERVICE REQUIRED",IF(COUNTIF(Clients!$A$5:$A$404,A447)=0,"CLIENT NOT FOUND",IF(COUNTIF(Services!$A$5:$A$104,B447)=0,"SERVICE NOT IN SERVICES","OK")))))</x:f>
      </x:c>
    </x:row>
    <x:row r="448">
      <x:c r="D448" s="100" t="str">
        <x:f>IF(AND(A448="",B448=""),"",IF(A448="","CLIENT REQUIRED",IF(B448="","SERVICE REQUIRED",IF(COUNTIF(Clients!$A$5:$A$404,A448)=0,"CLIENT NOT FOUND",IF(COUNTIF(Services!$A$5:$A$104,B448)=0,"SERVICE NOT IN SERVICES","OK")))))</x:f>
      </x:c>
    </x:row>
    <x:row r="449">
      <x:c r="D449" s="100" t="str">
        <x:f>IF(AND(A449="",B449=""),"",IF(A449="","CLIENT REQUIRED",IF(B449="","SERVICE REQUIRED",IF(COUNTIF(Clients!$A$5:$A$404,A449)=0,"CLIENT NOT FOUND",IF(COUNTIF(Services!$A$5:$A$104,B449)=0,"SERVICE NOT IN SERVICES","OK")))))</x:f>
      </x:c>
    </x:row>
    <x:row r="450">
      <x:c r="D450" s="100" t="str">
        <x:f>IF(AND(A450="",B450=""),"",IF(A450="","CLIENT REQUIRED",IF(B450="","SERVICE REQUIRED",IF(COUNTIF(Clients!$A$5:$A$404,A450)=0,"CLIENT NOT FOUND",IF(COUNTIF(Services!$A$5:$A$104,B450)=0,"SERVICE NOT IN SERVICES","OK")))))</x:f>
      </x:c>
    </x:row>
    <x:row r="451">
      <x:c r="D451" s="100" t="str">
        <x:f>IF(AND(A451="",B451=""),"",IF(A451="","CLIENT REQUIRED",IF(B451="","SERVICE REQUIRED",IF(COUNTIF(Clients!$A$5:$A$404,A451)=0,"CLIENT NOT FOUND",IF(COUNTIF(Services!$A$5:$A$104,B451)=0,"SERVICE NOT IN SERVICES","OK")))))</x:f>
      </x:c>
    </x:row>
    <x:row r="452">
      <x:c r="D452" s="100" t="str">
        <x:f>IF(AND(A452="",B452=""),"",IF(A452="","CLIENT REQUIRED",IF(B452="","SERVICE REQUIRED",IF(COUNTIF(Clients!$A$5:$A$404,A452)=0,"CLIENT NOT FOUND",IF(COUNTIF(Services!$A$5:$A$104,B452)=0,"SERVICE NOT IN SERVICES","OK")))))</x:f>
      </x:c>
    </x:row>
    <x:row r="453">
      <x:c r="D453" s="100" t="str">
        <x:f>IF(AND(A453="",B453=""),"",IF(A453="","CLIENT REQUIRED",IF(B453="","SERVICE REQUIRED",IF(COUNTIF(Clients!$A$5:$A$404,A453)=0,"CLIENT NOT FOUND",IF(COUNTIF(Services!$A$5:$A$104,B453)=0,"SERVICE NOT IN SERVICES","OK")))))</x:f>
      </x:c>
    </x:row>
    <x:row r="454">
      <x:c r="D454" s="100" t="str">
        <x:f>IF(AND(A454="",B454=""),"",IF(A454="","CLIENT REQUIRED",IF(B454="","SERVICE REQUIRED",IF(COUNTIF(Clients!$A$5:$A$404,A454)=0,"CLIENT NOT FOUND",IF(COUNTIF(Services!$A$5:$A$104,B454)=0,"SERVICE NOT IN SERVICES","OK")))))</x:f>
      </x:c>
    </x:row>
    <x:row r="455">
      <x:c r="D455" s="100" t="str">
        <x:f>IF(AND(A455="",B455=""),"",IF(A455="","CLIENT REQUIRED",IF(B455="","SERVICE REQUIRED",IF(COUNTIF(Clients!$A$5:$A$404,A455)=0,"CLIENT NOT FOUND",IF(COUNTIF(Services!$A$5:$A$104,B455)=0,"SERVICE NOT IN SERVICES","OK")))))</x:f>
      </x:c>
    </x:row>
    <x:row r="456">
      <x:c r="D456" s="100" t="str">
        <x:f>IF(AND(A456="",B456=""),"",IF(A456="","CLIENT REQUIRED",IF(B456="","SERVICE REQUIRED",IF(COUNTIF(Clients!$A$5:$A$404,A456)=0,"CLIENT NOT FOUND",IF(COUNTIF(Services!$A$5:$A$104,B456)=0,"SERVICE NOT IN SERVICES","OK")))))</x:f>
      </x:c>
    </x:row>
    <x:row r="457">
      <x:c r="D457" s="100" t="str">
        <x:f>IF(AND(A457="",B457=""),"",IF(A457="","CLIENT REQUIRED",IF(B457="","SERVICE REQUIRED",IF(COUNTIF(Clients!$A$5:$A$404,A457)=0,"CLIENT NOT FOUND",IF(COUNTIF(Services!$A$5:$A$104,B457)=0,"SERVICE NOT IN SERVICES","OK")))))</x:f>
      </x:c>
    </x:row>
    <x:row r="458">
      <x:c r="D458" s="100" t="str">
        <x:f>IF(AND(A458="",B458=""),"",IF(A458="","CLIENT REQUIRED",IF(B458="","SERVICE REQUIRED",IF(COUNTIF(Clients!$A$5:$A$404,A458)=0,"CLIENT NOT FOUND",IF(COUNTIF(Services!$A$5:$A$104,B458)=0,"SERVICE NOT IN SERVICES","OK")))))</x:f>
      </x:c>
    </x:row>
    <x:row r="459">
      <x:c r="D459" s="100" t="str">
        <x:f>IF(AND(A459="",B459=""),"",IF(A459="","CLIENT REQUIRED",IF(B459="","SERVICE REQUIRED",IF(COUNTIF(Clients!$A$5:$A$404,A459)=0,"CLIENT NOT FOUND",IF(COUNTIF(Services!$A$5:$A$104,B459)=0,"SERVICE NOT IN SERVICES","OK")))))</x:f>
      </x:c>
    </x:row>
    <x:row r="460">
      <x:c r="D460" s="100" t="str">
        <x:f>IF(AND(A460="",B460=""),"",IF(A460="","CLIENT REQUIRED",IF(B460="","SERVICE REQUIRED",IF(COUNTIF(Clients!$A$5:$A$404,A460)=0,"CLIENT NOT FOUND",IF(COUNTIF(Services!$A$5:$A$104,B460)=0,"SERVICE NOT IN SERVICES","OK")))))</x:f>
      </x:c>
    </x:row>
    <x:row r="461">
      <x:c r="D461" s="100" t="str">
        <x:f>IF(AND(A461="",B461=""),"",IF(A461="","CLIENT REQUIRED",IF(B461="","SERVICE REQUIRED",IF(COUNTIF(Clients!$A$5:$A$404,A461)=0,"CLIENT NOT FOUND",IF(COUNTIF(Services!$A$5:$A$104,B461)=0,"SERVICE NOT IN SERVICES","OK")))))</x:f>
      </x:c>
    </x:row>
    <x:row r="462">
      <x:c r="D462" s="100" t="str">
        <x:f>IF(AND(A462="",B462=""),"",IF(A462="","CLIENT REQUIRED",IF(B462="","SERVICE REQUIRED",IF(COUNTIF(Clients!$A$5:$A$404,A462)=0,"CLIENT NOT FOUND",IF(COUNTIF(Services!$A$5:$A$104,B462)=0,"SERVICE NOT IN SERVICES","OK")))))</x:f>
      </x:c>
    </x:row>
    <x:row r="463">
      <x:c r="D463" s="100" t="str">
        <x:f>IF(AND(A463="",B463=""),"",IF(A463="","CLIENT REQUIRED",IF(B463="","SERVICE REQUIRED",IF(COUNTIF(Clients!$A$5:$A$404,A463)=0,"CLIENT NOT FOUND",IF(COUNTIF(Services!$A$5:$A$104,B463)=0,"SERVICE NOT IN SERVICES","OK")))))</x:f>
      </x:c>
    </x:row>
    <x:row r="464">
      <x:c r="D464" s="100" t="str">
        <x:f>IF(AND(A464="",B464=""),"",IF(A464="","CLIENT REQUIRED",IF(B464="","SERVICE REQUIRED",IF(COUNTIF(Clients!$A$5:$A$404,A464)=0,"CLIENT NOT FOUND",IF(COUNTIF(Services!$A$5:$A$104,B464)=0,"SERVICE NOT IN SERVICES","OK")))))</x:f>
      </x:c>
    </x:row>
    <x:row r="465">
      <x:c r="D465" s="100" t="str">
        <x:f>IF(AND(A465="",B465=""),"",IF(A465="","CLIENT REQUIRED",IF(B465="","SERVICE REQUIRED",IF(COUNTIF(Clients!$A$5:$A$404,A465)=0,"CLIENT NOT FOUND",IF(COUNTIF(Services!$A$5:$A$104,B465)=0,"SERVICE NOT IN SERVICES","OK")))))</x:f>
      </x:c>
    </x:row>
    <x:row r="466">
      <x:c r="D466" s="100" t="str">
        <x:f>IF(AND(A466="",B466=""),"",IF(A466="","CLIENT REQUIRED",IF(B466="","SERVICE REQUIRED",IF(COUNTIF(Clients!$A$5:$A$404,A466)=0,"CLIENT NOT FOUND",IF(COUNTIF(Services!$A$5:$A$104,B466)=0,"SERVICE NOT IN SERVICES","OK")))))</x:f>
      </x:c>
    </x:row>
    <x:row r="467">
      <x:c r="D467" s="100" t="str">
        <x:f>IF(AND(A467="",B467=""),"",IF(A467="","CLIENT REQUIRED",IF(B467="","SERVICE REQUIRED",IF(COUNTIF(Clients!$A$5:$A$404,A467)=0,"CLIENT NOT FOUND",IF(COUNTIF(Services!$A$5:$A$104,B467)=0,"SERVICE NOT IN SERVICES","OK")))))</x:f>
      </x:c>
    </x:row>
    <x:row r="468">
      <x:c r="D468" s="100" t="str">
        <x:f>IF(AND(A468="",B468=""),"",IF(A468="","CLIENT REQUIRED",IF(B468="","SERVICE REQUIRED",IF(COUNTIF(Clients!$A$5:$A$404,A468)=0,"CLIENT NOT FOUND",IF(COUNTIF(Services!$A$5:$A$104,B468)=0,"SERVICE NOT IN SERVICES","OK")))))</x:f>
      </x:c>
    </x:row>
    <x:row r="469">
      <x:c r="D469" s="100" t="str">
        <x:f>IF(AND(A469="",B469=""),"",IF(A469="","CLIENT REQUIRED",IF(B469="","SERVICE REQUIRED",IF(COUNTIF(Clients!$A$5:$A$404,A469)=0,"CLIENT NOT FOUND",IF(COUNTIF(Services!$A$5:$A$104,B469)=0,"SERVICE NOT IN SERVICES","OK")))))</x:f>
      </x:c>
    </x:row>
    <x:row r="470">
      <x:c r="D470" s="100" t="str">
        <x:f>IF(AND(A470="",B470=""),"",IF(A470="","CLIENT REQUIRED",IF(B470="","SERVICE REQUIRED",IF(COUNTIF(Clients!$A$5:$A$404,A470)=0,"CLIENT NOT FOUND",IF(COUNTIF(Services!$A$5:$A$104,B470)=0,"SERVICE NOT IN SERVICES","OK")))))</x:f>
      </x:c>
    </x:row>
    <x:row r="471">
      <x:c r="D471" s="100" t="str">
        <x:f>IF(AND(A471="",B471=""),"",IF(A471="","CLIENT REQUIRED",IF(B471="","SERVICE REQUIRED",IF(COUNTIF(Clients!$A$5:$A$404,A471)=0,"CLIENT NOT FOUND",IF(COUNTIF(Services!$A$5:$A$104,B471)=0,"SERVICE NOT IN SERVICES","OK")))))</x:f>
      </x:c>
    </x:row>
    <x:row r="472">
      <x:c r="D472" s="100" t="str">
        <x:f>IF(AND(A472="",B472=""),"",IF(A472="","CLIENT REQUIRED",IF(B472="","SERVICE REQUIRED",IF(COUNTIF(Clients!$A$5:$A$404,A472)=0,"CLIENT NOT FOUND",IF(COUNTIF(Services!$A$5:$A$104,B472)=0,"SERVICE NOT IN SERVICES","OK")))))</x:f>
      </x:c>
    </x:row>
    <x:row r="473">
      <x:c r="D473" s="100" t="str">
        <x:f>IF(AND(A473="",B473=""),"",IF(A473="","CLIENT REQUIRED",IF(B473="","SERVICE REQUIRED",IF(COUNTIF(Clients!$A$5:$A$404,A473)=0,"CLIENT NOT FOUND",IF(COUNTIF(Services!$A$5:$A$104,B473)=0,"SERVICE NOT IN SERVICES","OK")))))</x:f>
      </x:c>
    </x:row>
    <x:row r="474">
      <x:c r="D474" s="100" t="str">
        <x:f>IF(AND(A474="",B474=""),"",IF(A474="","CLIENT REQUIRED",IF(B474="","SERVICE REQUIRED",IF(COUNTIF(Clients!$A$5:$A$404,A474)=0,"CLIENT NOT FOUND",IF(COUNTIF(Services!$A$5:$A$104,B474)=0,"SERVICE NOT IN SERVICES","OK")))))</x:f>
      </x:c>
    </x:row>
    <x:row r="475">
      <x:c r="D475" s="100" t="str">
        <x:f>IF(AND(A475="",B475=""),"",IF(A475="","CLIENT REQUIRED",IF(B475="","SERVICE REQUIRED",IF(COUNTIF(Clients!$A$5:$A$404,A475)=0,"CLIENT NOT FOUND",IF(COUNTIF(Services!$A$5:$A$104,B475)=0,"SERVICE NOT IN SERVICES","OK")))))</x:f>
      </x:c>
    </x:row>
    <x:row r="476">
      <x:c r="D476" s="100" t="str">
        <x:f>IF(AND(A476="",B476=""),"",IF(A476="","CLIENT REQUIRED",IF(B476="","SERVICE REQUIRED",IF(COUNTIF(Clients!$A$5:$A$404,A476)=0,"CLIENT NOT FOUND",IF(COUNTIF(Services!$A$5:$A$104,B476)=0,"SERVICE NOT IN SERVICES","OK")))))</x:f>
      </x:c>
    </x:row>
    <x:row r="477">
      <x:c r="D477" s="100" t="str">
        <x:f>IF(AND(A477="",B477=""),"",IF(A477="","CLIENT REQUIRED",IF(B477="","SERVICE REQUIRED",IF(COUNTIF(Clients!$A$5:$A$404,A477)=0,"CLIENT NOT FOUND",IF(COUNTIF(Services!$A$5:$A$104,B477)=0,"SERVICE NOT IN SERVICES","OK")))))</x:f>
      </x:c>
    </x:row>
    <x:row r="478">
      <x:c r="D478" s="100" t="str">
        <x:f>IF(AND(A478="",B478=""),"",IF(A478="","CLIENT REQUIRED",IF(B478="","SERVICE REQUIRED",IF(COUNTIF(Clients!$A$5:$A$404,A478)=0,"CLIENT NOT FOUND",IF(COUNTIF(Services!$A$5:$A$104,B478)=0,"SERVICE NOT IN SERVICES","OK")))))</x:f>
      </x:c>
    </x:row>
    <x:row r="479">
      <x:c r="D479" s="100" t="str">
        <x:f>IF(AND(A479="",B479=""),"",IF(A479="","CLIENT REQUIRED",IF(B479="","SERVICE REQUIRED",IF(COUNTIF(Clients!$A$5:$A$404,A479)=0,"CLIENT NOT FOUND",IF(COUNTIF(Services!$A$5:$A$104,B479)=0,"SERVICE NOT IN SERVICES","OK")))))</x:f>
      </x:c>
    </x:row>
    <x:row r="480">
      <x:c r="D480" s="100" t="str">
        <x:f>IF(AND(A480="",B480=""),"",IF(A480="","CLIENT REQUIRED",IF(B480="","SERVICE REQUIRED",IF(COUNTIF(Clients!$A$5:$A$404,A480)=0,"CLIENT NOT FOUND",IF(COUNTIF(Services!$A$5:$A$104,B480)=0,"SERVICE NOT IN SERVICES","OK")))))</x:f>
      </x:c>
    </x:row>
    <x:row r="481">
      <x:c r="D481" s="100" t="str">
        <x:f>IF(AND(A481="",B481=""),"",IF(A481="","CLIENT REQUIRED",IF(B481="","SERVICE REQUIRED",IF(COUNTIF(Clients!$A$5:$A$404,A481)=0,"CLIENT NOT FOUND",IF(COUNTIF(Services!$A$5:$A$104,B481)=0,"SERVICE NOT IN SERVICES","OK")))))</x:f>
      </x:c>
    </x:row>
    <x:row r="482">
      <x:c r="D482" s="100" t="str">
        <x:f>IF(AND(A482="",B482=""),"",IF(A482="","CLIENT REQUIRED",IF(B482="","SERVICE REQUIRED",IF(COUNTIF(Clients!$A$5:$A$404,A482)=0,"CLIENT NOT FOUND",IF(COUNTIF(Services!$A$5:$A$104,B482)=0,"SERVICE NOT IN SERVICES","OK")))))</x:f>
      </x:c>
    </x:row>
    <x:row r="483">
      <x:c r="D483" s="100" t="str">
        <x:f>IF(AND(A483="",B483=""),"",IF(A483="","CLIENT REQUIRED",IF(B483="","SERVICE REQUIRED",IF(COUNTIF(Clients!$A$5:$A$404,A483)=0,"CLIENT NOT FOUND",IF(COUNTIF(Services!$A$5:$A$104,B483)=0,"SERVICE NOT IN SERVICES","OK")))))</x:f>
      </x:c>
    </x:row>
    <x:row r="484">
      <x:c r="D484" s="100" t="str">
        <x:f>IF(AND(A484="",B484=""),"",IF(A484="","CLIENT REQUIRED",IF(B484="","SERVICE REQUIRED",IF(COUNTIF(Clients!$A$5:$A$404,A484)=0,"CLIENT NOT FOUND",IF(COUNTIF(Services!$A$5:$A$104,B484)=0,"SERVICE NOT IN SERVICES","OK")))))</x:f>
      </x:c>
    </x:row>
    <x:row r="485">
      <x:c r="D485" s="100" t="str">
        <x:f>IF(AND(A485="",B485=""),"",IF(A485="","CLIENT REQUIRED",IF(B485="","SERVICE REQUIRED",IF(COUNTIF(Clients!$A$5:$A$404,A485)=0,"CLIENT NOT FOUND",IF(COUNTIF(Services!$A$5:$A$104,B485)=0,"SERVICE NOT IN SERVICES","OK")))))</x:f>
      </x:c>
    </x:row>
    <x:row r="486">
      <x:c r="D486" s="100" t="str">
        <x:f>IF(AND(A486="",B486=""),"",IF(A486="","CLIENT REQUIRED",IF(B486="","SERVICE REQUIRED",IF(COUNTIF(Clients!$A$5:$A$404,A486)=0,"CLIENT NOT FOUND",IF(COUNTIF(Services!$A$5:$A$104,B486)=0,"SERVICE NOT IN SERVICES","OK")))))</x:f>
      </x:c>
    </x:row>
    <x:row r="487">
      <x:c r="D487" s="100" t="str">
        <x:f>IF(AND(A487="",B487=""),"",IF(A487="","CLIENT REQUIRED",IF(B487="","SERVICE REQUIRED",IF(COUNTIF(Clients!$A$5:$A$404,A487)=0,"CLIENT NOT FOUND",IF(COUNTIF(Services!$A$5:$A$104,B487)=0,"SERVICE NOT IN SERVICES","OK")))))</x:f>
      </x:c>
    </x:row>
    <x:row r="488">
      <x:c r="D488" s="100" t="str">
        <x:f>IF(AND(A488="",B488=""),"",IF(A488="","CLIENT REQUIRED",IF(B488="","SERVICE REQUIRED",IF(COUNTIF(Clients!$A$5:$A$404,A488)=0,"CLIENT NOT FOUND",IF(COUNTIF(Services!$A$5:$A$104,B488)=0,"SERVICE NOT IN SERVICES","OK")))))</x:f>
      </x:c>
    </x:row>
    <x:row r="489">
      <x:c r="D489" s="100" t="str">
        <x:f>IF(AND(A489="",B489=""),"",IF(A489="","CLIENT REQUIRED",IF(B489="","SERVICE REQUIRED",IF(COUNTIF(Clients!$A$5:$A$404,A489)=0,"CLIENT NOT FOUND",IF(COUNTIF(Services!$A$5:$A$104,B489)=0,"SERVICE NOT IN SERVICES","OK")))))</x:f>
      </x:c>
    </x:row>
    <x:row r="490">
      <x:c r="D490" s="100" t="str">
        <x:f>IF(AND(A490="",B490=""),"",IF(A490="","CLIENT REQUIRED",IF(B490="","SERVICE REQUIRED",IF(COUNTIF(Clients!$A$5:$A$404,A490)=0,"CLIENT NOT FOUND",IF(COUNTIF(Services!$A$5:$A$104,B490)=0,"SERVICE NOT IN SERVICES","OK")))))</x:f>
      </x:c>
    </x:row>
    <x:row r="491">
      <x:c r="D491" s="100" t="str">
        <x:f>IF(AND(A491="",B491=""),"",IF(A491="","CLIENT REQUIRED",IF(B491="","SERVICE REQUIRED",IF(COUNTIF(Clients!$A$5:$A$404,A491)=0,"CLIENT NOT FOUND",IF(COUNTIF(Services!$A$5:$A$104,B491)=0,"SERVICE NOT IN SERVICES","OK")))))</x:f>
      </x:c>
    </x:row>
    <x:row r="492">
      <x:c r="D492" s="100" t="str">
        <x:f>IF(AND(A492="",B492=""),"",IF(A492="","CLIENT REQUIRED",IF(B492="","SERVICE REQUIRED",IF(COUNTIF(Clients!$A$5:$A$404,A492)=0,"CLIENT NOT FOUND",IF(COUNTIF(Services!$A$5:$A$104,B492)=0,"SERVICE NOT IN SERVICES","OK")))))</x:f>
      </x:c>
    </x:row>
    <x:row r="493">
      <x:c r="D493" s="100" t="str">
        <x:f>IF(AND(A493="",B493=""),"",IF(A493="","CLIENT REQUIRED",IF(B493="","SERVICE REQUIRED",IF(COUNTIF(Clients!$A$5:$A$404,A493)=0,"CLIENT NOT FOUND",IF(COUNTIF(Services!$A$5:$A$104,B493)=0,"SERVICE NOT IN SERVICES","OK")))))</x:f>
      </x:c>
    </x:row>
    <x:row r="494">
      <x:c r="D494" s="100" t="str">
        <x:f>IF(AND(A494="",B494=""),"",IF(A494="","CLIENT REQUIRED",IF(B494="","SERVICE REQUIRED",IF(COUNTIF(Clients!$A$5:$A$404,A494)=0,"CLIENT NOT FOUND",IF(COUNTIF(Services!$A$5:$A$104,B494)=0,"SERVICE NOT IN SERVICES","OK")))))</x:f>
      </x:c>
    </x:row>
    <x:row r="495">
      <x:c r="D495" s="100" t="str">
        <x:f>IF(AND(A495="",B495=""),"",IF(A495="","CLIENT REQUIRED",IF(B495="","SERVICE REQUIRED",IF(COUNTIF(Clients!$A$5:$A$404,A495)=0,"CLIENT NOT FOUND",IF(COUNTIF(Services!$A$5:$A$104,B495)=0,"SERVICE NOT IN SERVICES","OK")))))</x:f>
      </x:c>
    </x:row>
    <x:row r="496">
      <x:c r="D496" s="100" t="str">
        <x:f>IF(AND(A496="",B496=""),"",IF(A496="","CLIENT REQUIRED",IF(B496="","SERVICE REQUIRED",IF(COUNTIF(Clients!$A$5:$A$404,A496)=0,"CLIENT NOT FOUND",IF(COUNTIF(Services!$A$5:$A$104,B496)=0,"SERVICE NOT IN SERVICES","OK")))))</x:f>
      </x:c>
    </x:row>
    <x:row r="497">
      <x:c r="D497" s="100" t="str">
        <x:f>IF(AND(A497="",B497=""),"",IF(A497="","CLIENT REQUIRED",IF(B497="","SERVICE REQUIRED",IF(COUNTIF(Clients!$A$5:$A$404,A497)=0,"CLIENT NOT FOUND",IF(COUNTIF(Services!$A$5:$A$104,B497)=0,"SERVICE NOT IN SERVICES","OK")))))</x:f>
      </x:c>
    </x:row>
    <x:row r="498">
      <x:c r="D498" s="100" t="str">
        <x:f>IF(AND(A498="",B498=""),"",IF(A498="","CLIENT REQUIRED",IF(B498="","SERVICE REQUIRED",IF(COUNTIF(Clients!$A$5:$A$404,A498)=0,"CLIENT NOT FOUND",IF(COUNTIF(Services!$A$5:$A$104,B498)=0,"SERVICE NOT IN SERVICES","OK")))))</x:f>
      </x:c>
    </x:row>
    <x:row r="499">
      <x:c r="D499" s="100" t="str">
        <x:f>IF(AND(A499="",B499=""),"",IF(A499="","CLIENT REQUIRED",IF(B499="","SERVICE REQUIRED",IF(COUNTIF(Clients!$A$5:$A$404,A499)=0,"CLIENT NOT FOUND",IF(COUNTIF(Services!$A$5:$A$104,B499)=0,"SERVICE NOT IN SERVICES","OK")))))</x:f>
      </x:c>
    </x:row>
    <x:row r="500">
      <x:c r="D500" s="100" t="str">
        <x:f>IF(AND(A500="",B500=""),"",IF(A500="","CLIENT REQUIRED",IF(B500="","SERVICE REQUIRED",IF(COUNTIF(Clients!$A$5:$A$404,A500)=0,"CLIENT NOT FOUND",IF(COUNTIF(Services!$A$5:$A$104,B500)=0,"SERVICE NOT IN SERVICES","OK")))))</x:f>
      </x:c>
    </x:row>
    <x:row r="501">
      <x:c r="D501" s="100" t="str">
        <x:f>IF(AND(A501="",B501=""),"",IF(A501="","CLIENT REQUIRED",IF(B501="","SERVICE REQUIRED",IF(COUNTIF(Clients!$A$5:$A$404,A501)=0,"CLIENT NOT FOUND",IF(COUNTIF(Services!$A$5:$A$104,B501)=0,"SERVICE NOT IN SERVICES","OK")))))</x:f>
      </x:c>
    </x:row>
    <x:row r="502">
      <x:c r="D502" s="100" t="str">
        <x:f>IF(AND(A502="",B502=""),"",IF(A502="","CLIENT REQUIRED",IF(B502="","SERVICE REQUIRED",IF(COUNTIF(Clients!$A$5:$A$404,A502)=0,"CLIENT NOT FOUND",IF(COUNTIF(Services!$A$5:$A$104,B502)=0,"SERVICE NOT IN SERVICES","OK")))))</x:f>
      </x:c>
    </x:row>
    <x:row r="503">
      <x:c r="D503" s="100" t="str">
        <x:f>IF(AND(A503="",B503=""),"",IF(A503="","CLIENT REQUIRED",IF(B503="","SERVICE REQUIRED",IF(COUNTIF(Clients!$A$5:$A$404,A503)=0,"CLIENT NOT FOUND",IF(COUNTIF(Services!$A$5:$A$104,B503)=0,"SERVICE NOT IN SERVICES","OK")))))</x:f>
      </x:c>
    </x:row>
    <x:row r="504">
      <x:c r="D504" s="100" t="str">
        <x:f>IF(AND(A504="",B504=""),"",IF(A504="","CLIENT REQUIRED",IF(B504="","SERVICE REQUIRED",IF(COUNTIF(Clients!$A$5:$A$404,A504)=0,"CLIENT NOT FOUND",IF(COUNTIF(Services!$A$5:$A$104,B504)=0,"SERVICE NOT IN SERVICES","OK")))))</x:f>
      </x:c>
    </x:row>
    <x:row r="505">
      <x:c r="D505" s="100" t="str">
        <x:f>IF(AND(A505="",B505=""),"",IF(A505="","CLIENT REQUIRED",IF(B505="","SERVICE REQUIRED",IF(COUNTIF(Clients!$A$5:$A$404,A505)=0,"CLIENT NOT FOUND",IF(COUNTIF(Services!$A$5:$A$104,B505)=0,"SERVICE NOT IN SERVICES","OK")))))</x:f>
      </x:c>
    </x:row>
    <x:row r="506">
      <x:c r="D506" s="100" t="str">
        <x:f>IF(AND(A506="",B506=""),"",IF(A506="","CLIENT REQUIRED",IF(B506="","SERVICE REQUIRED",IF(COUNTIF(Clients!$A$5:$A$404,A506)=0,"CLIENT NOT FOUND",IF(COUNTIF(Services!$A$5:$A$104,B506)=0,"SERVICE NOT IN SERVICES","OK")))))</x:f>
      </x:c>
    </x:row>
    <x:row r="507">
      <x:c r="D507" s="100" t="str">
        <x:f>IF(AND(A507="",B507=""),"",IF(A507="","CLIENT REQUIRED",IF(B507="","SERVICE REQUIRED",IF(COUNTIF(Clients!$A$5:$A$404,A507)=0,"CLIENT NOT FOUND",IF(COUNTIF(Services!$A$5:$A$104,B507)=0,"SERVICE NOT IN SERVICES","OK")))))</x:f>
      </x:c>
    </x:row>
    <x:row r="508">
      <x:c r="D508" s="100" t="str">
        <x:f>IF(AND(A508="",B508=""),"",IF(A508="","CLIENT REQUIRED",IF(B508="","SERVICE REQUIRED",IF(COUNTIF(Clients!$A$5:$A$404,A508)=0,"CLIENT NOT FOUND",IF(COUNTIF(Services!$A$5:$A$104,B508)=0,"SERVICE NOT IN SERVICES","OK")))))</x:f>
      </x:c>
    </x:row>
    <x:row r="509">
      <x:c r="D509" s="100" t="str">
        <x:f>IF(AND(A509="",B509=""),"",IF(A509="","CLIENT REQUIRED",IF(B509="","SERVICE REQUIRED",IF(COUNTIF(Clients!$A$5:$A$404,A509)=0,"CLIENT NOT FOUND",IF(COUNTIF(Services!$A$5:$A$104,B509)=0,"SERVICE NOT IN SERVICES","OK")))))</x:f>
      </x:c>
    </x:row>
    <x:row r="510">
      <x:c r="D510" s="100" t="str">
        <x:f>IF(AND(A510="",B510=""),"",IF(A510="","CLIENT REQUIRED",IF(B510="","SERVICE REQUIRED",IF(COUNTIF(Clients!$A$5:$A$404,A510)=0,"CLIENT NOT FOUND",IF(COUNTIF(Services!$A$5:$A$104,B510)=0,"SERVICE NOT IN SERVICES","OK")))))</x:f>
      </x:c>
    </x:row>
    <x:row r="511">
      <x:c r="D511" s="100" t="str">
        <x:f>IF(AND(A511="",B511=""),"",IF(A511="","CLIENT REQUIRED",IF(B511="","SERVICE REQUIRED",IF(COUNTIF(Clients!$A$5:$A$404,A511)=0,"CLIENT NOT FOUND",IF(COUNTIF(Services!$A$5:$A$104,B511)=0,"SERVICE NOT IN SERVICES","OK")))))</x:f>
      </x:c>
    </x:row>
    <x:row r="512">
      <x:c r="D512" s="100" t="str">
        <x:f>IF(AND(A512="",B512=""),"",IF(A512="","CLIENT REQUIRED",IF(B512="","SERVICE REQUIRED",IF(COUNTIF(Clients!$A$5:$A$404,A512)=0,"CLIENT NOT FOUND",IF(COUNTIF(Services!$A$5:$A$104,B512)=0,"SERVICE NOT IN SERVICES","OK")))))</x:f>
      </x:c>
    </x:row>
    <x:row r="513">
      <x:c r="D513" s="100" t="str">
        <x:f>IF(AND(A513="",B513=""),"",IF(A513="","CLIENT REQUIRED",IF(B513="","SERVICE REQUIRED",IF(COUNTIF(Clients!$A$5:$A$404,A513)=0,"CLIENT NOT FOUND",IF(COUNTIF(Services!$A$5:$A$104,B513)=0,"SERVICE NOT IN SERVICES","OK")))))</x:f>
      </x:c>
    </x:row>
    <x:row r="514">
      <x:c r="D514" s="100" t="str">
        <x:f>IF(AND(A514="",B514=""),"",IF(A514="","CLIENT REQUIRED",IF(B514="","SERVICE REQUIRED",IF(COUNTIF(Clients!$A$5:$A$404,A514)=0,"CLIENT NOT FOUND",IF(COUNTIF(Services!$A$5:$A$104,B514)=0,"SERVICE NOT IN SERVICES","OK")))))</x:f>
      </x:c>
    </x:row>
    <x:row r="515">
      <x:c r="D515" s="100" t="str">
        <x:f>IF(AND(A515="",B515=""),"",IF(A515="","CLIENT REQUIRED",IF(B515="","SERVICE REQUIRED",IF(COUNTIF(Clients!$A$5:$A$404,A515)=0,"CLIENT NOT FOUND",IF(COUNTIF(Services!$A$5:$A$104,B515)=0,"SERVICE NOT IN SERVICES","OK")))))</x:f>
      </x:c>
    </x:row>
    <x:row r="516">
      <x:c r="D516" s="100" t="str">
        <x:f>IF(AND(A516="",B516=""),"",IF(A516="","CLIENT REQUIRED",IF(B516="","SERVICE REQUIRED",IF(COUNTIF(Clients!$A$5:$A$404,A516)=0,"CLIENT NOT FOUND",IF(COUNTIF(Services!$A$5:$A$104,B516)=0,"SERVICE NOT IN SERVICES","OK")))))</x:f>
      </x:c>
    </x:row>
    <x:row r="517">
      <x:c r="D517" s="100" t="str">
        <x:f>IF(AND(A517="",B517=""),"",IF(A517="","CLIENT REQUIRED",IF(B517="","SERVICE REQUIRED",IF(COUNTIF(Clients!$A$5:$A$404,A517)=0,"CLIENT NOT FOUND",IF(COUNTIF(Services!$A$5:$A$104,B517)=0,"SERVICE NOT IN SERVICES","OK")))))</x:f>
      </x:c>
    </x:row>
    <x:row r="518">
      <x:c r="D518" s="100" t="str">
        <x:f>IF(AND(A518="",B518=""),"",IF(A518="","CLIENT REQUIRED",IF(B518="","SERVICE REQUIRED",IF(COUNTIF(Clients!$A$5:$A$404,A518)=0,"CLIENT NOT FOUND",IF(COUNTIF(Services!$A$5:$A$104,B518)=0,"SERVICE NOT IN SERVICES","OK")))))</x:f>
      </x:c>
    </x:row>
    <x:row r="519">
      <x:c r="D519" s="100" t="str">
        <x:f>IF(AND(A519="",B519=""),"",IF(A519="","CLIENT REQUIRED",IF(B519="","SERVICE REQUIRED",IF(COUNTIF(Clients!$A$5:$A$404,A519)=0,"CLIENT NOT FOUND",IF(COUNTIF(Services!$A$5:$A$104,B519)=0,"SERVICE NOT IN SERVICES","OK")))))</x:f>
      </x:c>
    </x:row>
    <x:row r="520">
      <x:c r="D520" s="100" t="str">
        <x:f>IF(AND(A520="",B520=""),"",IF(A520="","CLIENT REQUIRED",IF(B520="","SERVICE REQUIRED",IF(COUNTIF(Clients!$A$5:$A$404,A520)=0,"CLIENT NOT FOUND",IF(COUNTIF(Services!$A$5:$A$104,B520)=0,"SERVICE NOT IN SERVICES","OK")))))</x:f>
      </x:c>
    </x:row>
    <x:row r="521">
      <x:c r="D521" s="100" t="str">
        <x:f>IF(AND(A521="",B521=""),"",IF(A521="","CLIENT REQUIRED",IF(B521="","SERVICE REQUIRED",IF(COUNTIF(Clients!$A$5:$A$404,A521)=0,"CLIENT NOT FOUND",IF(COUNTIF(Services!$A$5:$A$104,B521)=0,"SERVICE NOT IN SERVICES","OK")))))</x:f>
      </x:c>
    </x:row>
    <x:row r="522">
      <x:c r="D522" s="100" t="str">
        <x:f>IF(AND(A522="",B522=""),"",IF(A522="","CLIENT REQUIRED",IF(B522="","SERVICE REQUIRED",IF(COUNTIF(Clients!$A$5:$A$404,A522)=0,"CLIENT NOT FOUND",IF(COUNTIF(Services!$A$5:$A$104,B522)=0,"SERVICE NOT IN SERVICES","OK")))))</x:f>
      </x:c>
    </x:row>
    <x:row r="523">
      <x:c r="D523" s="100" t="str">
        <x:f>IF(AND(A523="",B523=""),"",IF(A523="","CLIENT REQUIRED",IF(B523="","SERVICE REQUIRED",IF(COUNTIF(Clients!$A$5:$A$404,A523)=0,"CLIENT NOT FOUND",IF(COUNTIF(Services!$A$5:$A$104,B523)=0,"SERVICE NOT IN SERVICES","OK")))))</x:f>
      </x:c>
    </x:row>
    <x:row r="524">
      <x:c r="D524" s="100" t="str">
        <x:f>IF(AND(A524="",B524=""),"",IF(A524="","CLIENT REQUIRED",IF(B524="","SERVICE REQUIRED",IF(COUNTIF(Clients!$A$5:$A$404,A524)=0,"CLIENT NOT FOUND",IF(COUNTIF(Services!$A$5:$A$104,B524)=0,"SERVICE NOT IN SERVICES","OK")))))</x:f>
      </x:c>
    </x:row>
    <x:row r="525">
      <x:c r="D525" s="100" t="str">
        <x:f>IF(AND(A525="",B525=""),"",IF(A525="","CLIENT REQUIRED",IF(B525="","SERVICE REQUIRED",IF(COUNTIF(Clients!$A$5:$A$404,A525)=0,"CLIENT NOT FOUND",IF(COUNTIF(Services!$A$5:$A$104,B525)=0,"SERVICE NOT IN SERVICES","OK")))))</x:f>
      </x:c>
    </x:row>
    <x:row r="526">
      <x:c r="D526" s="100" t="str">
        <x:f>IF(AND(A526="",B526=""),"",IF(A526="","CLIENT REQUIRED",IF(B526="","SERVICE REQUIRED",IF(COUNTIF(Clients!$A$5:$A$404,A526)=0,"CLIENT NOT FOUND",IF(COUNTIF(Services!$A$5:$A$104,B526)=0,"SERVICE NOT IN SERVICES","OK")))))</x:f>
      </x:c>
    </x:row>
    <x:row r="527">
      <x:c r="D527" s="100" t="str">
        <x:f>IF(AND(A527="",B527=""),"",IF(A527="","CLIENT REQUIRED",IF(B527="","SERVICE REQUIRED",IF(COUNTIF(Clients!$A$5:$A$404,A527)=0,"CLIENT NOT FOUND",IF(COUNTIF(Services!$A$5:$A$104,B527)=0,"SERVICE NOT IN SERVICES","OK")))))</x:f>
      </x:c>
    </x:row>
    <x:row r="528">
      <x:c r="D528" s="100" t="str">
        <x:f>IF(AND(A528="",B528=""),"",IF(A528="","CLIENT REQUIRED",IF(B528="","SERVICE REQUIRED",IF(COUNTIF(Clients!$A$5:$A$404,A528)=0,"CLIENT NOT FOUND",IF(COUNTIF(Services!$A$5:$A$104,B528)=0,"SERVICE NOT IN SERVICES","OK")))))</x:f>
      </x:c>
    </x:row>
    <x:row r="529">
      <x:c r="D529" s="100" t="str">
        <x:f>IF(AND(A529="",B529=""),"",IF(A529="","CLIENT REQUIRED",IF(B529="","SERVICE REQUIRED",IF(COUNTIF(Clients!$A$5:$A$404,A529)=0,"CLIENT NOT FOUND",IF(COUNTIF(Services!$A$5:$A$104,B529)=0,"SERVICE NOT IN SERVICES","OK")))))</x:f>
      </x:c>
    </x:row>
    <x:row r="530">
      <x:c r="D530" s="100" t="str">
        <x:f>IF(AND(A530="",B530=""),"",IF(A530="","CLIENT REQUIRED",IF(B530="","SERVICE REQUIRED",IF(COUNTIF(Clients!$A$5:$A$404,A530)=0,"CLIENT NOT FOUND",IF(COUNTIF(Services!$A$5:$A$104,B530)=0,"SERVICE NOT IN SERVICES","OK")))))</x:f>
      </x:c>
    </x:row>
    <x:row r="531">
      <x:c r="D531" s="100" t="str">
        <x:f>IF(AND(A531="",B531=""),"",IF(A531="","CLIENT REQUIRED",IF(B531="","SERVICE REQUIRED",IF(COUNTIF(Clients!$A$5:$A$404,A531)=0,"CLIENT NOT FOUND",IF(COUNTIF(Services!$A$5:$A$104,B531)=0,"SERVICE NOT IN SERVICES","OK")))))</x:f>
      </x:c>
    </x:row>
    <x:row r="532">
      <x:c r="D532" s="100" t="str">
        <x:f>IF(AND(A532="",B532=""),"",IF(A532="","CLIENT REQUIRED",IF(B532="","SERVICE REQUIRED",IF(COUNTIF(Clients!$A$5:$A$404,A532)=0,"CLIENT NOT FOUND",IF(COUNTIF(Services!$A$5:$A$104,B532)=0,"SERVICE NOT IN SERVICES","OK")))))</x:f>
      </x:c>
    </x:row>
    <x:row r="533">
      <x:c r="D533" s="100" t="str">
        <x:f>IF(AND(A533="",B533=""),"",IF(A533="","CLIENT REQUIRED",IF(B533="","SERVICE REQUIRED",IF(COUNTIF(Clients!$A$5:$A$404,A533)=0,"CLIENT NOT FOUND",IF(COUNTIF(Services!$A$5:$A$104,B533)=0,"SERVICE NOT IN SERVICES","OK")))))</x:f>
      </x:c>
    </x:row>
    <x:row r="534">
      <x:c r="D534" s="100" t="str">
        <x:f>IF(AND(A534="",B534=""),"",IF(A534="","CLIENT REQUIRED",IF(B534="","SERVICE REQUIRED",IF(COUNTIF(Clients!$A$5:$A$404,A534)=0,"CLIENT NOT FOUND",IF(COUNTIF(Services!$A$5:$A$104,B534)=0,"SERVICE NOT IN SERVICES","OK")))))</x:f>
      </x:c>
    </x:row>
    <x:row r="535">
      <x:c r="D535" s="100" t="str">
        <x:f>IF(AND(A535="",B535=""),"",IF(A535="","CLIENT REQUIRED",IF(B535="","SERVICE REQUIRED",IF(COUNTIF(Clients!$A$5:$A$404,A535)=0,"CLIENT NOT FOUND",IF(COUNTIF(Services!$A$5:$A$104,B535)=0,"SERVICE NOT IN SERVICES","OK")))))</x:f>
      </x:c>
    </x:row>
    <x:row r="536">
      <x:c r="D536" s="100" t="str">
        <x:f>IF(AND(A536="",B536=""),"",IF(A536="","CLIENT REQUIRED",IF(B536="","SERVICE REQUIRED",IF(COUNTIF(Clients!$A$5:$A$404,A536)=0,"CLIENT NOT FOUND",IF(COUNTIF(Services!$A$5:$A$104,B536)=0,"SERVICE NOT IN SERVICES","OK")))))</x:f>
      </x:c>
    </x:row>
    <x:row r="537">
      <x:c r="D537" s="100" t="str">
        <x:f>IF(AND(A537="",B537=""),"",IF(A537="","CLIENT REQUIRED",IF(B537="","SERVICE REQUIRED",IF(COUNTIF(Clients!$A$5:$A$404,A537)=0,"CLIENT NOT FOUND",IF(COUNTIF(Services!$A$5:$A$104,B537)=0,"SERVICE NOT IN SERVICES","OK")))))</x:f>
      </x:c>
    </x:row>
    <x:row r="538">
      <x:c r="D538" s="100" t="str">
        <x:f>IF(AND(A538="",B538=""),"",IF(A538="","CLIENT REQUIRED",IF(B538="","SERVICE REQUIRED",IF(COUNTIF(Clients!$A$5:$A$404,A538)=0,"CLIENT NOT FOUND",IF(COUNTIF(Services!$A$5:$A$104,B538)=0,"SERVICE NOT IN SERVICES","OK")))))</x:f>
      </x:c>
    </x:row>
    <x:row r="539">
      <x:c r="D539" s="100" t="str">
        <x:f>IF(AND(A539="",B539=""),"",IF(A539="","CLIENT REQUIRED",IF(B539="","SERVICE REQUIRED",IF(COUNTIF(Clients!$A$5:$A$404,A539)=0,"CLIENT NOT FOUND",IF(COUNTIF(Services!$A$5:$A$104,B539)=0,"SERVICE NOT IN SERVICES","OK")))))</x:f>
      </x:c>
    </x:row>
    <x:row r="540">
      <x:c r="D540" s="100" t="str">
        <x:f>IF(AND(A540="",B540=""),"",IF(A540="","CLIENT REQUIRED",IF(B540="","SERVICE REQUIRED",IF(COUNTIF(Clients!$A$5:$A$404,A540)=0,"CLIENT NOT FOUND",IF(COUNTIF(Services!$A$5:$A$104,B540)=0,"SERVICE NOT IN SERVICES","OK")))))</x:f>
      </x:c>
    </x:row>
    <x:row r="541">
      <x:c r="D541" s="100" t="str">
        <x:f>IF(AND(A541="",B541=""),"",IF(A541="","CLIENT REQUIRED",IF(B541="","SERVICE REQUIRED",IF(COUNTIF(Clients!$A$5:$A$404,A541)=0,"CLIENT NOT FOUND",IF(COUNTIF(Services!$A$5:$A$104,B541)=0,"SERVICE NOT IN SERVICES","OK")))))</x:f>
      </x:c>
    </x:row>
    <x:row r="542">
      <x:c r="D542" s="100" t="str">
        <x:f>IF(AND(A542="",B542=""),"",IF(A542="","CLIENT REQUIRED",IF(B542="","SERVICE REQUIRED",IF(COUNTIF(Clients!$A$5:$A$404,A542)=0,"CLIENT NOT FOUND",IF(COUNTIF(Services!$A$5:$A$104,B542)=0,"SERVICE NOT IN SERVICES","OK")))))</x:f>
      </x:c>
    </x:row>
    <x:row r="543">
      <x:c r="D543" s="100" t="str">
        <x:f>IF(AND(A543="",B543=""),"",IF(A543="","CLIENT REQUIRED",IF(B543="","SERVICE REQUIRED",IF(COUNTIF(Clients!$A$5:$A$404,A543)=0,"CLIENT NOT FOUND",IF(COUNTIF(Services!$A$5:$A$104,B543)=0,"SERVICE NOT IN SERVICES","OK")))))</x:f>
      </x:c>
    </x:row>
    <x:row r="544">
      <x:c r="D544" s="100" t="str">
        <x:f>IF(AND(A544="",B544=""),"",IF(A544="","CLIENT REQUIRED",IF(B544="","SERVICE REQUIRED",IF(COUNTIF(Clients!$A$5:$A$404,A544)=0,"CLIENT NOT FOUND",IF(COUNTIF(Services!$A$5:$A$104,B544)=0,"SERVICE NOT IN SERVICES","OK")))))</x:f>
      </x:c>
    </x:row>
    <x:row r="545">
      <x:c r="D545" s="100" t="str">
        <x:f>IF(AND(A545="",B545=""),"",IF(A545="","CLIENT REQUIRED",IF(B545="","SERVICE REQUIRED",IF(COUNTIF(Clients!$A$5:$A$404,A545)=0,"CLIENT NOT FOUND",IF(COUNTIF(Services!$A$5:$A$104,B545)=0,"SERVICE NOT IN SERVICES","OK")))))</x:f>
      </x:c>
    </x:row>
    <x:row r="546">
      <x:c r="D546" s="100" t="str">
        <x:f>IF(AND(A546="",B546=""),"",IF(A546="","CLIENT REQUIRED",IF(B546="","SERVICE REQUIRED",IF(COUNTIF(Clients!$A$5:$A$404,A546)=0,"CLIENT NOT FOUND",IF(COUNTIF(Services!$A$5:$A$104,B546)=0,"SERVICE NOT IN SERVICES","OK")))))</x:f>
      </x:c>
    </x:row>
    <x:row r="547">
      <x:c r="D547" s="100" t="str">
        <x:f>IF(AND(A547="",B547=""),"",IF(A547="","CLIENT REQUIRED",IF(B547="","SERVICE REQUIRED",IF(COUNTIF(Clients!$A$5:$A$404,A547)=0,"CLIENT NOT FOUND",IF(COUNTIF(Services!$A$5:$A$104,B547)=0,"SERVICE NOT IN SERVICES","OK")))))</x:f>
      </x:c>
    </x:row>
    <x:row r="548">
      <x:c r="D548" s="100" t="str">
        <x:f>IF(AND(A548="",B548=""),"",IF(A548="","CLIENT REQUIRED",IF(B548="","SERVICE REQUIRED",IF(COUNTIF(Clients!$A$5:$A$404,A548)=0,"CLIENT NOT FOUND",IF(COUNTIF(Services!$A$5:$A$104,B548)=0,"SERVICE NOT IN SERVICES","OK")))))</x:f>
      </x:c>
    </x:row>
    <x:row r="549">
      <x:c r="D549" s="100" t="str">
        <x:f>IF(AND(A549="",B549=""),"",IF(A549="","CLIENT REQUIRED",IF(B549="","SERVICE REQUIRED",IF(COUNTIF(Clients!$A$5:$A$404,A549)=0,"CLIENT NOT FOUND",IF(COUNTIF(Services!$A$5:$A$104,B549)=0,"SERVICE NOT IN SERVICES","OK")))))</x:f>
      </x:c>
    </x:row>
    <x:row r="550">
      <x:c r="D550" s="100" t="str">
        <x:f>IF(AND(A550="",B550=""),"",IF(A550="","CLIENT REQUIRED",IF(B550="","SERVICE REQUIRED",IF(COUNTIF(Clients!$A$5:$A$404,A550)=0,"CLIENT NOT FOUND",IF(COUNTIF(Services!$A$5:$A$104,B550)=0,"SERVICE NOT IN SERVICES","OK")))))</x:f>
      </x:c>
    </x:row>
    <x:row r="551">
      <x:c r="D551" s="100" t="str">
        <x:f>IF(AND(A551="",B551=""),"",IF(A551="","CLIENT REQUIRED",IF(B551="","SERVICE REQUIRED",IF(COUNTIF(Clients!$A$5:$A$404,A551)=0,"CLIENT NOT FOUND",IF(COUNTIF(Services!$A$5:$A$104,B551)=0,"SERVICE NOT IN SERVICES","OK")))))</x:f>
      </x:c>
    </x:row>
    <x:row r="552">
      <x:c r="D552" s="100" t="str">
        <x:f>IF(AND(A552="",B552=""),"",IF(A552="","CLIENT REQUIRED",IF(B552="","SERVICE REQUIRED",IF(COUNTIF(Clients!$A$5:$A$404,A552)=0,"CLIENT NOT FOUND",IF(COUNTIF(Services!$A$5:$A$104,B552)=0,"SERVICE NOT IN SERVICES","OK")))))</x:f>
      </x:c>
    </x:row>
    <x:row r="553">
      <x:c r="D553" s="100" t="str">
        <x:f>IF(AND(A553="",B553=""),"",IF(A553="","CLIENT REQUIRED",IF(B553="","SERVICE REQUIRED",IF(COUNTIF(Clients!$A$5:$A$404,A553)=0,"CLIENT NOT FOUND",IF(COUNTIF(Services!$A$5:$A$104,B553)=0,"SERVICE NOT IN SERVICES","OK")))))</x:f>
      </x:c>
    </x:row>
    <x:row r="554">
      <x:c r="D554" s="100" t="str">
        <x:f>IF(AND(A554="",B554=""),"",IF(A554="","CLIENT REQUIRED",IF(B554="","SERVICE REQUIRED",IF(COUNTIF(Clients!$A$5:$A$404,A554)=0,"CLIENT NOT FOUND",IF(COUNTIF(Services!$A$5:$A$104,B554)=0,"SERVICE NOT IN SERVICES","OK")))))</x:f>
      </x:c>
    </x:row>
    <x:row r="555">
      <x:c r="D555" s="100" t="str">
        <x:f>IF(AND(A555="",B555=""),"",IF(A555="","CLIENT REQUIRED",IF(B555="","SERVICE REQUIRED",IF(COUNTIF(Clients!$A$5:$A$404,A555)=0,"CLIENT NOT FOUND",IF(COUNTIF(Services!$A$5:$A$104,B555)=0,"SERVICE NOT IN SERVICES","OK")))))</x:f>
      </x:c>
    </x:row>
    <x:row r="556">
      <x:c r="D556" s="100" t="str">
        <x:f>IF(AND(A556="",B556=""),"",IF(A556="","CLIENT REQUIRED",IF(B556="","SERVICE REQUIRED",IF(COUNTIF(Clients!$A$5:$A$404,A556)=0,"CLIENT NOT FOUND",IF(COUNTIF(Services!$A$5:$A$104,B556)=0,"SERVICE NOT IN SERVICES","OK")))))</x:f>
      </x:c>
    </x:row>
    <x:row r="557">
      <x:c r="D557" s="100" t="str">
        <x:f>IF(AND(A557="",B557=""),"",IF(A557="","CLIENT REQUIRED",IF(B557="","SERVICE REQUIRED",IF(COUNTIF(Clients!$A$5:$A$404,A557)=0,"CLIENT NOT FOUND",IF(COUNTIF(Services!$A$5:$A$104,B557)=0,"SERVICE NOT IN SERVICES","OK")))))</x:f>
      </x:c>
    </x:row>
    <x:row r="558">
      <x:c r="D558" s="100" t="str">
        <x:f>IF(AND(A558="",B558=""),"",IF(A558="","CLIENT REQUIRED",IF(B558="","SERVICE REQUIRED",IF(COUNTIF(Clients!$A$5:$A$404,A558)=0,"CLIENT NOT FOUND",IF(COUNTIF(Services!$A$5:$A$104,B558)=0,"SERVICE NOT IN SERVICES","OK")))))</x:f>
      </x:c>
    </x:row>
    <x:row r="559">
      <x:c r="D559" s="100" t="str">
        <x:f>IF(AND(A559="",B559=""),"",IF(A559="","CLIENT REQUIRED",IF(B559="","SERVICE REQUIRED",IF(COUNTIF(Clients!$A$5:$A$404,A559)=0,"CLIENT NOT FOUND",IF(COUNTIF(Services!$A$5:$A$104,B559)=0,"SERVICE NOT IN SERVICES","OK")))))</x:f>
      </x:c>
    </x:row>
    <x:row r="560">
      <x:c r="D560" s="100" t="str">
        <x:f>IF(AND(A560="",B560=""),"",IF(A560="","CLIENT REQUIRED",IF(B560="","SERVICE REQUIRED",IF(COUNTIF(Clients!$A$5:$A$404,A560)=0,"CLIENT NOT FOUND",IF(COUNTIF(Services!$A$5:$A$104,B560)=0,"SERVICE NOT IN SERVICES","OK")))))</x:f>
      </x:c>
    </x:row>
    <x:row r="561">
      <x:c r="D561" s="100" t="str">
        <x:f>IF(AND(A561="",B561=""),"",IF(A561="","CLIENT REQUIRED",IF(B561="","SERVICE REQUIRED",IF(COUNTIF(Clients!$A$5:$A$404,A561)=0,"CLIENT NOT FOUND",IF(COUNTIF(Services!$A$5:$A$104,B561)=0,"SERVICE NOT IN SERVICES","OK")))))</x:f>
      </x:c>
    </x:row>
    <x:row r="562">
      <x:c r="D562" s="100" t="str">
        <x:f>IF(AND(A562="",B562=""),"",IF(A562="","CLIENT REQUIRED",IF(B562="","SERVICE REQUIRED",IF(COUNTIF(Clients!$A$5:$A$404,A562)=0,"CLIENT NOT FOUND",IF(COUNTIF(Services!$A$5:$A$104,B562)=0,"SERVICE NOT IN SERVICES","OK")))))</x:f>
      </x:c>
    </x:row>
    <x:row r="563">
      <x:c r="D563" s="100" t="str">
        <x:f>IF(AND(A563="",B563=""),"",IF(A563="","CLIENT REQUIRED",IF(B563="","SERVICE REQUIRED",IF(COUNTIF(Clients!$A$5:$A$404,A563)=0,"CLIENT NOT FOUND",IF(COUNTIF(Services!$A$5:$A$104,B563)=0,"SERVICE NOT IN SERVICES","OK")))))</x:f>
      </x:c>
    </x:row>
    <x:row r="564">
      <x:c r="D564" s="100" t="str">
        <x:f>IF(AND(A564="",B564=""),"",IF(A564="","CLIENT REQUIRED",IF(B564="","SERVICE REQUIRED",IF(COUNTIF(Clients!$A$5:$A$404,A564)=0,"CLIENT NOT FOUND",IF(COUNTIF(Services!$A$5:$A$104,B564)=0,"SERVICE NOT IN SERVICES","OK")))))</x:f>
      </x:c>
    </x:row>
    <x:row r="565">
      <x:c r="D565" s="100" t="str">
        <x:f>IF(AND(A565="",B565=""),"",IF(A565="","CLIENT REQUIRED",IF(B565="","SERVICE REQUIRED",IF(COUNTIF(Clients!$A$5:$A$404,A565)=0,"CLIENT NOT FOUND",IF(COUNTIF(Services!$A$5:$A$104,B565)=0,"SERVICE NOT IN SERVICES","OK")))))</x:f>
      </x:c>
    </x:row>
    <x:row r="566">
      <x:c r="D566" s="100" t="str">
        <x:f>IF(AND(A566="",B566=""),"",IF(A566="","CLIENT REQUIRED",IF(B566="","SERVICE REQUIRED",IF(COUNTIF(Clients!$A$5:$A$404,A566)=0,"CLIENT NOT FOUND",IF(COUNTIF(Services!$A$5:$A$104,B566)=0,"SERVICE NOT IN SERVICES","OK")))))</x:f>
      </x:c>
    </x:row>
    <x:row r="567">
      <x:c r="D567" s="100" t="str">
        <x:f>IF(AND(A567="",B567=""),"",IF(A567="","CLIENT REQUIRED",IF(B567="","SERVICE REQUIRED",IF(COUNTIF(Clients!$A$5:$A$404,A567)=0,"CLIENT NOT FOUND",IF(COUNTIF(Services!$A$5:$A$104,B567)=0,"SERVICE NOT IN SERVICES","OK")))))</x:f>
      </x:c>
    </x:row>
    <x:row r="568">
      <x:c r="D568" s="100" t="str">
        <x:f>IF(AND(A568="",B568=""),"",IF(A568="","CLIENT REQUIRED",IF(B568="","SERVICE REQUIRED",IF(COUNTIF(Clients!$A$5:$A$404,A568)=0,"CLIENT NOT FOUND",IF(COUNTIF(Services!$A$5:$A$104,B568)=0,"SERVICE NOT IN SERVICES","OK")))))</x:f>
      </x:c>
    </x:row>
    <x:row r="569">
      <x:c r="D569" s="100" t="str">
        <x:f>IF(AND(A569="",B569=""),"",IF(A569="","CLIENT REQUIRED",IF(B569="","SERVICE REQUIRED",IF(COUNTIF(Clients!$A$5:$A$404,A569)=0,"CLIENT NOT FOUND",IF(COUNTIF(Services!$A$5:$A$104,B569)=0,"SERVICE NOT IN SERVICES","OK")))))</x:f>
      </x:c>
    </x:row>
    <x:row r="570">
      <x:c r="D570" s="100" t="str">
        <x:f>IF(AND(A570="",B570=""),"",IF(A570="","CLIENT REQUIRED",IF(B570="","SERVICE REQUIRED",IF(COUNTIF(Clients!$A$5:$A$404,A570)=0,"CLIENT NOT FOUND",IF(COUNTIF(Services!$A$5:$A$104,B570)=0,"SERVICE NOT IN SERVICES","OK")))))</x:f>
      </x:c>
    </x:row>
    <x:row r="571">
      <x:c r="D571" s="100" t="str">
        <x:f>IF(AND(A571="",B571=""),"",IF(A571="","CLIENT REQUIRED",IF(B571="","SERVICE REQUIRED",IF(COUNTIF(Clients!$A$5:$A$404,A571)=0,"CLIENT NOT FOUND",IF(COUNTIF(Services!$A$5:$A$104,B571)=0,"SERVICE NOT IN SERVICES","OK")))))</x:f>
      </x:c>
    </x:row>
    <x:row r="572">
      <x:c r="D572" s="100" t="str">
        <x:f>IF(AND(A572="",B572=""),"",IF(A572="","CLIENT REQUIRED",IF(B572="","SERVICE REQUIRED",IF(COUNTIF(Clients!$A$5:$A$404,A572)=0,"CLIENT NOT FOUND",IF(COUNTIF(Services!$A$5:$A$104,B572)=0,"SERVICE NOT IN SERVICES","OK")))))</x:f>
      </x:c>
    </x:row>
    <x:row r="573">
      <x:c r="D573" s="100" t="str">
        <x:f>IF(AND(A573="",B573=""),"",IF(A573="","CLIENT REQUIRED",IF(B573="","SERVICE REQUIRED",IF(COUNTIF(Clients!$A$5:$A$404,A573)=0,"CLIENT NOT FOUND",IF(COUNTIF(Services!$A$5:$A$104,B573)=0,"SERVICE NOT IN SERVICES","OK")))))</x:f>
      </x:c>
    </x:row>
    <x:row r="574">
      <x:c r="D574" s="100" t="str">
        <x:f>IF(AND(A574="",B574=""),"",IF(A574="","CLIENT REQUIRED",IF(B574="","SERVICE REQUIRED",IF(COUNTIF(Clients!$A$5:$A$404,A574)=0,"CLIENT NOT FOUND",IF(COUNTIF(Services!$A$5:$A$104,B574)=0,"SERVICE NOT IN SERVICES","OK")))))</x:f>
      </x:c>
    </x:row>
    <x:row r="575">
      <x:c r="D575" s="100" t="str">
        <x:f>IF(AND(A575="",B575=""),"",IF(A575="","CLIENT REQUIRED",IF(B575="","SERVICE REQUIRED",IF(COUNTIF(Clients!$A$5:$A$404,A575)=0,"CLIENT NOT FOUND",IF(COUNTIF(Services!$A$5:$A$104,B575)=0,"SERVICE NOT IN SERVICES","OK")))))</x:f>
      </x:c>
    </x:row>
    <x:row r="576">
      <x:c r="D576" s="100" t="str">
        <x:f>IF(AND(A576="",B576=""),"",IF(A576="","CLIENT REQUIRED",IF(B576="","SERVICE REQUIRED",IF(COUNTIF(Clients!$A$5:$A$404,A576)=0,"CLIENT NOT FOUND",IF(COUNTIF(Services!$A$5:$A$104,B576)=0,"SERVICE NOT IN SERVICES","OK")))))</x:f>
      </x:c>
    </x:row>
    <x:row r="577">
      <x:c r="D577" s="100" t="str">
        <x:f>IF(AND(A577="",B577=""),"",IF(A577="","CLIENT REQUIRED",IF(B577="","SERVICE REQUIRED",IF(COUNTIF(Clients!$A$5:$A$404,A577)=0,"CLIENT NOT FOUND",IF(COUNTIF(Services!$A$5:$A$104,B577)=0,"SERVICE NOT IN SERVICES","OK")))))</x:f>
      </x:c>
    </x:row>
    <x:row r="578">
      <x:c r="D578" s="100" t="str">
        <x:f>IF(AND(A578="",B578=""),"",IF(A578="","CLIENT REQUIRED",IF(B578="","SERVICE REQUIRED",IF(COUNTIF(Clients!$A$5:$A$404,A578)=0,"CLIENT NOT FOUND",IF(COUNTIF(Services!$A$5:$A$104,B578)=0,"SERVICE NOT IN SERVICES","OK")))))</x:f>
      </x:c>
    </x:row>
    <x:row r="579">
      <x:c r="D579" s="100" t="str">
        <x:f>IF(AND(A579="",B579=""),"",IF(A579="","CLIENT REQUIRED",IF(B579="","SERVICE REQUIRED",IF(COUNTIF(Clients!$A$5:$A$404,A579)=0,"CLIENT NOT FOUND",IF(COUNTIF(Services!$A$5:$A$104,B579)=0,"SERVICE NOT IN SERVICES","OK")))))</x:f>
      </x:c>
    </x:row>
    <x:row r="580">
      <x:c r="D580" s="100" t="str">
        <x:f>IF(AND(A580="",B580=""),"",IF(A580="","CLIENT REQUIRED",IF(B580="","SERVICE REQUIRED",IF(COUNTIF(Clients!$A$5:$A$404,A580)=0,"CLIENT NOT FOUND",IF(COUNTIF(Services!$A$5:$A$104,B580)=0,"SERVICE NOT IN SERVICES","OK")))))</x:f>
      </x:c>
    </x:row>
    <x:row r="581">
      <x:c r="D581" s="100" t="str">
        <x:f>IF(AND(A581="",B581=""),"",IF(A581="","CLIENT REQUIRED",IF(B581="","SERVICE REQUIRED",IF(COUNTIF(Clients!$A$5:$A$404,A581)=0,"CLIENT NOT FOUND",IF(COUNTIF(Services!$A$5:$A$104,B581)=0,"SERVICE NOT IN SERVICES","OK")))))</x:f>
      </x:c>
    </x:row>
    <x:row r="582">
      <x:c r="D582" s="100" t="str">
        <x:f>IF(AND(A582="",B582=""),"",IF(A582="","CLIENT REQUIRED",IF(B582="","SERVICE REQUIRED",IF(COUNTIF(Clients!$A$5:$A$404,A582)=0,"CLIENT NOT FOUND",IF(COUNTIF(Services!$A$5:$A$104,B582)=0,"SERVICE NOT IN SERVICES","OK")))))</x:f>
      </x:c>
    </x:row>
    <x:row r="583">
      <x:c r="D583" s="100" t="str">
        <x:f>IF(AND(A583="",B583=""),"",IF(A583="","CLIENT REQUIRED",IF(B583="","SERVICE REQUIRED",IF(COUNTIF(Clients!$A$5:$A$404,A583)=0,"CLIENT NOT FOUND",IF(COUNTIF(Services!$A$5:$A$104,B583)=0,"SERVICE NOT IN SERVICES","OK")))))</x:f>
      </x:c>
    </x:row>
    <x:row r="584">
      <x:c r="D584" s="100" t="str">
        <x:f>IF(AND(A584="",B584=""),"",IF(A584="","CLIENT REQUIRED",IF(B584="","SERVICE REQUIRED",IF(COUNTIF(Clients!$A$5:$A$404,A584)=0,"CLIENT NOT FOUND",IF(COUNTIF(Services!$A$5:$A$104,B584)=0,"SERVICE NOT IN SERVICES","OK")))))</x:f>
      </x:c>
    </x:row>
    <x:row r="585">
      <x:c r="D585" s="100" t="str">
        <x:f>IF(AND(A585="",B585=""),"",IF(A585="","CLIENT REQUIRED",IF(B585="","SERVICE REQUIRED",IF(COUNTIF(Clients!$A$5:$A$404,A585)=0,"CLIENT NOT FOUND",IF(COUNTIF(Services!$A$5:$A$104,B585)=0,"SERVICE NOT IN SERVICES","OK")))))</x:f>
      </x:c>
    </x:row>
    <x:row r="586">
      <x:c r="D586" s="100" t="str">
        <x:f>IF(AND(A586="",B586=""),"",IF(A586="","CLIENT REQUIRED",IF(B586="","SERVICE REQUIRED",IF(COUNTIF(Clients!$A$5:$A$404,A586)=0,"CLIENT NOT FOUND",IF(COUNTIF(Services!$A$5:$A$104,B586)=0,"SERVICE NOT IN SERVICES","OK")))))</x:f>
      </x:c>
    </x:row>
    <x:row r="587">
      <x:c r="D587" s="100" t="str">
        <x:f>IF(AND(A587="",B587=""),"",IF(A587="","CLIENT REQUIRED",IF(B587="","SERVICE REQUIRED",IF(COUNTIF(Clients!$A$5:$A$404,A587)=0,"CLIENT NOT FOUND",IF(COUNTIF(Services!$A$5:$A$104,B587)=0,"SERVICE NOT IN SERVICES","OK")))))</x:f>
      </x:c>
    </x:row>
    <x:row r="588">
      <x:c r="D588" s="100" t="str">
        <x:f>IF(AND(A588="",B588=""),"",IF(A588="","CLIENT REQUIRED",IF(B588="","SERVICE REQUIRED",IF(COUNTIF(Clients!$A$5:$A$404,A588)=0,"CLIENT NOT FOUND",IF(COUNTIF(Services!$A$5:$A$104,B588)=0,"SERVICE NOT IN SERVICES","OK")))))</x:f>
      </x:c>
    </x:row>
    <x:row r="589">
      <x:c r="D589" s="100" t="str">
        <x:f>IF(AND(A589="",B589=""),"",IF(A589="","CLIENT REQUIRED",IF(B589="","SERVICE REQUIRED",IF(COUNTIF(Clients!$A$5:$A$404,A589)=0,"CLIENT NOT FOUND",IF(COUNTIF(Services!$A$5:$A$104,B589)=0,"SERVICE NOT IN SERVICES","OK")))))</x:f>
      </x:c>
    </x:row>
    <x:row r="590">
      <x:c r="D590" s="100" t="str">
        <x:f>IF(AND(A590="",B590=""),"",IF(A590="","CLIENT REQUIRED",IF(B590="","SERVICE REQUIRED",IF(COUNTIF(Clients!$A$5:$A$404,A590)=0,"CLIENT NOT FOUND",IF(COUNTIF(Services!$A$5:$A$104,B590)=0,"SERVICE NOT IN SERVICES","OK")))))</x:f>
      </x:c>
    </x:row>
    <x:row r="591">
      <x:c r="D591" s="100" t="str">
        <x:f>IF(AND(A591="",B591=""),"",IF(A591="","CLIENT REQUIRED",IF(B591="","SERVICE REQUIRED",IF(COUNTIF(Clients!$A$5:$A$404,A591)=0,"CLIENT NOT FOUND",IF(COUNTIF(Services!$A$5:$A$104,B591)=0,"SERVICE NOT IN SERVICES","OK")))))</x:f>
      </x:c>
    </x:row>
    <x:row r="592">
      <x:c r="D592" s="100" t="str">
        <x:f>IF(AND(A592="",B592=""),"",IF(A592="","CLIENT REQUIRED",IF(B592="","SERVICE REQUIRED",IF(COUNTIF(Clients!$A$5:$A$404,A592)=0,"CLIENT NOT FOUND",IF(COUNTIF(Services!$A$5:$A$104,B592)=0,"SERVICE NOT IN SERVICES","OK")))))</x:f>
      </x:c>
    </x:row>
    <x:row r="593">
      <x:c r="D593" s="100" t="str">
        <x:f>IF(AND(A593="",B593=""),"",IF(A593="","CLIENT REQUIRED",IF(B593="","SERVICE REQUIRED",IF(COUNTIF(Clients!$A$5:$A$404,A593)=0,"CLIENT NOT FOUND",IF(COUNTIF(Services!$A$5:$A$104,B593)=0,"SERVICE NOT IN SERVICES","OK")))))</x:f>
      </x:c>
    </x:row>
    <x:row r="594">
      <x:c r="D594" s="100" t="str">
        <x:f>IF(AND(A594="",B594=""),"",IF(A594="","CLIENT REQUIRED",IF(B594="","SERVICE REQUIRED",IF(COUNTIF(Clients!$A$5:$A$404,A594)=0,"CLIENT NOT FOUND",IF(COUNTIF(Services!$A$5:$A$104,B594)=0,"SERVICE NOT IN SERVICES","OK")))))</x:f>
      </x:c>
    </x:row>
    <x:row r="595">
      <x:c r="D595" s="100" t="str">
        <x:f>IF(AND(A595="",B595=""),"",IF(A595="","CLIENT REQUIRED",IF(B595="","SERVICE REQUIRED",IF(COUNTIF(Clients!$A$5:$A$404,A595)=0,"CLIENT NOT FOUND",IF(COUNTIF(Services!$A$5:$A$104,B595)=0,"SERVICE NOT IN SERVICES","OK")))))</x:f>
      </x:c>
    </x:row>
    <x:row r="596">
      <x:c r="D596" s="100" t="str">
        <x:f>IF(AND(A596="",B596=""),"",IF(A596="","CLIENT REQUIRED",IF(B596="","SERVICE REQUIRED",IF(COUNTIF(Clients!$A$5:$A$404,A596)=0,"CLIENT NOT FOUND",IF(COUNTIF(Services!$A$5:$A$104,B596)=0,"SERVICE NOT IN SERVICES","OK")))))</x:f>
      </x:c>
    </x:row>
    <x:row r="597">
      <x:c r="D597" s="100" t="str">
        <x:f>IF(AND(A597="",B597=""),"",IF(A597="","CLIENT REQUIRED",IF(B597="","SERVICE REQUIRED",IF(COUNTIF(Clients!$A$5:$A$404,A597)=0,"CLIENT NOT FOUND",IF(COUNTIF(Services!$A$5:$A$104,B597)=0,"SERVICE NOT IN SERVICES","OK")))))</x:f>
      </x:c>
    </x:row>
    <x:row r="598">
      <x:c r="D598" s="100" t="str">
        <x:f>IF(AND(A598="",B598=""),"",IF(A598="","CLIENT REQUIRED",IF(B598="","SERVICE REQUIRED",IF(COUNTIF(Clients!$A$5:$A$404,A598)=0,"CLIENT NOT FOUND",IF(COUNTIF(Services!$A$5:$A$104,B598)=0,"SERVICE NOT IN SERVICES","OK")))))</x:f>
      </x:c>
    </x:row>
    <x:row r="599">
      <x:c r="D599" s="100" t="str">
        <x:f>IF(AND(A599="",B599=""),"",IF(A599="","CLIENT REQUIRED",IF(B599="","SERVICE REQUIRED",IF(COUNTIF(Clients!$A$5:$A$404,A599)=0,"CLIENT NOT FOUND",IF(COUNTIF(Services!$A$5:$A$104,B599)=0,"SERVICE NOT IN SERVICES","OK")))))</x:f>
      </x:c>
    </x:row>
    <x:row r="600">
      <x:c r="D600" s="100" t="str">
        <x:f>IF(AND(A600="",B600=""),"",IF(A600="","CLIENT REQUIRED",IF(B600="","SERVICE REQUIRED",IF(COUNTIF(Clients!$A$5:$A$404,A600)=0,"CLIENT NOT FOUND",IF(COUNTIF(Services!$A$5:$A$104,B600)=0,"SERVICE NOT IN SERVICES","OK")))))</x:f>
      </x:c>
    </x:row>
    <x:row r="601">
      <x:c r="D601" s="100" t="str">
        <x:f>IF(AND(A601="",B601=""),"",IF(A601="","CLIENT REQUIRED",IF(B601="","SERVICE REQUIRED",IF(COUNTIF(Clients!$A$5:$A$404,A601)=0,"CLIENT NOT FOUND",IF(COUNTIF(Services!$A$5:$A$104,B601)=0,"SERVICE NOT IN SERVICES","OK")))))</x:f>
      </x:c>
    </x:row>
    <x:row r="602">
      <x:c r="D602" s="100" t="str">
        <x:f>IF(AND(A602="",B602=""),"",IF(A602="","CLIENT REQUIRED",IF(B602="","SERVICE REQUIRED",IF(COUNTIF(Clients!$A$5:$A$404,A602)=0,"CLIENT NOT FOUND",IF(COUNTIF(Services!$A$5:$A$104,B602)=0,"SERVICE NOT IN SERVICES","OK")))))</x:f>
      </x:c>
    </x:row>
    <x:row r="603">
      <x:c r="D603" s="100" t="str">
        <x:f>IF(AND(A603="",B603=""),"",IF(A603="","CLIENT REQUIRED",IF(B603="","SERVICE REQUIRED",IF(COUNTIF(Clients!$A$5:$A$404,A603)=0,"CLIENT NOT FOUND",IF(COUNTIF(Services!$A$5:$A$104,B603)=0,"SERVICE NOT IN SERVICES","OK")))))</x:f>
      </x:c>
    </x:row>
    <x:row r="604">
      <x:c r="D604" s="100" t="str">
        <x:f>IF(AND(A604="",B604=""),"",IF(A604="","CLIENT REQUIRED",IF(B604="","SERVICE REQUIRED",IF(COUNTIF(Clients!$A$5:$A$404,A604)=0,"CLIENT NOT FOUND",IF(COUNTIF(Services!$A$5:$A$104,B604)=0,"SERVICE NOT IN SERVICES","OK")))))</x:f>
      </x:c>
    </x:row>
    <x:row r="605">
      <x:c r="D605" s="100" t="str">
        <x:f>IF(AND(A605="",B605=""),"",IF(A605="","CLIENT REQUIRED",IF(B605="","SERVICE REQUIRED",IF(COUNTIF(Clients!$A$5:$A$404,A605)=0,"CLIENT NOT FOUND",IF(COUNTIF(Services!$A$5:$A$104,B605)=0,"SERVICE NOT IN SERVICES","OK")))))</x:f>
      </x:c>
    </x:row>
    <x:row r="606">
      <x:c r="D606" s="100" t="str">
        <x:f>IF(AND(A606="",B606=""),"",IF(A606="","CLIENT REQUIRED",IF(B606="","SERVICE REQUIRED",IF(COUNTIF(Clients!$A$5:$A$404,A606)=0,"CLIENT NOT FOUND",IF(COUNTIF(Services!$A$5:$A$104,B606)=0,"SERVICE NOT IN SERVICES","OK")))))</x:f>
      </x:c>
    </x:row>
    <x:row r="607">
      <x:c r="D607" s="100" t="str">
        <x:f>IF(AND(A607="",B607=""),"",IF(A607="","CLIENT REQUIRED",IF(B607="","SERVICE REQUIRED",IF(COUNTIF(Clients!$A$5:$A$404,A607)=0,"CLIENT NOT FOUND",IF(COUNTIF(Services!$A$5:$A$104,B607)=0,"SERVICE NOT IN SERVICES","OK")))))</x:f>
      </x:c>
    </x:row>
    <x:row r="608">
      <x:c r="D608" s="100" t="str">
        <x:f>IF(AND(A608="",B608=""),"",IF(A608="","CLIENT REQUIRED",IF(B608="","SERVICE REQUIRED",IF(COUNTIF(Clients!$A$5:$A$404,A608)=0,"CLIENT NOT FOUND",IF(COUNTIF(Services!$A$5:$A$104,B608)=0,"SERVICE NOT IN SERVICES","OK")))))</x:f>
      </x:c>
    </x:row>
    <x:row r="609">
      <x:c r="D609" s="100" t="str">
        <x:f>IF(AND(A609="",B609=""),"",IF(A609="","CLIENT REQUIRED",IF(B609="","SERVICE REQUIRED",IF(COUNTIF(Clients!$A$5:$A$404,A609)=0,"CLIENT NOT FOUND",IF(COUNTIF(Services!$A$5:$A$104,B609)=0,"SERVICE NOT IN SERVICES","OK")))))</x:f>
      </x:c>
    </x:row>
    <x:row r="610">
      <x:c r="D610" s="100" t="str">
        <x:f>IF(AND(A610="",B610=""),"",IF(A610="","CLIENT REQUIRED",IF(B610="","SERVICE REQUIRED",IF(COUNTIF(Clients!$A$5:$A$404,A610)=0,"CLIENT NOT FOUND",IF(COUNTIF(Services!$A$5:$A$104,B610)=0,"SERVICE NOT IN SERVICES","OK")))))</x:f>
      </x:c>
    </x:row>
    <x:row r="611">
      <x:c r="D611" s="100" t="str">
        <x:f>IF(AND(A611="",B611=""),"",IF(A611="","CLIENT REQUIRED",IF(B611="","SERVICE REQUIRED",IF(COUNTIF(Clients!$A$5:$A$404,A611)=0,"CLIENT NOT FOUND",IF(COUNTIF(Services!$A$5:$A$104,B611)=0,"SERVICE NOT IN SERVICES","OK")))))</x:f>
      </x:c>
    </x:row>
    <x:row r="612">
      <x:c r="D612" s="100" t="str">
        <x:f>IF(AND(A612="",B612=""),"",IF(A612="","CLIENT REQUIRED",IF(B612="","SERVICE REQUIRED",IF(COUNTIF(Clients!$A$5:$A$404,A612)=0,"CLIENT NOT FOUND",IF(COUNTIF(Services!$A$5:$A$104,B612)=0,"SERVICE NOT IN SERVICES","OK")))))</x:f>
      </x:c>
    </x:row>
    <x:row r="613">
      <x:c r="D613" s="100" t="str">
        <x:f>IF(AND(A613="",B613=""),"",IF(A613="","CLIENT REQUIRED",IF(B613="","SERVICE REQUIRED",IF(COUNTIF(Clients!$A$5:$A$404,A613)=0,"CLIENT NOT FOUND",IF(COUNTIF(Services!$A$5:$A$104,B613)=0,"SERVICE NOT IN SERVICES","OK")))))</x:f>
      </x:c>
    </x:row>
    <x:row r="614">
      <x:c r="D614" s="100" t="str">
        <x:f>IF(AND(A614="",B614=""),"",IF(A614="","CLIENT REQUIRED",IF(B614="","SERVICE REQUIRED",IF(COUNTIF(Clients!$A$5:$A$404,A614)=0,"CLIENT NOT FOUND",IF(COUNTIF(Services!$A$5:$A$104,B614)=0,"SERVICE NOT IN SERVICES","OK")))))</x:f>
      </x:c>
    </x:row>
    <x:row r="615">
      <x:c r="D615" s="100" t="str">
        <x:f>IF(AND(A615="",B615=""),"",IF(A615="","CLIENT REQUIRED",IF(B615="","SERVICE REQUIRED",IF(COUNTIF(Clients!$A$5:$A$404,A615)=0,"CLIENT NOT FOUND",IF(COUNTIF(Services!$A$5:$A$104,B615)=0,"SERVICE NOT IN SERVICES","OK")))))</x:f>
      </x:c>
    </x:row>
    <x:row r="616">
      <x:c r="D616" s="100" t="str">
        <x:f>IF(AND(A616="",B616=""),"",IF(A616="","CLIENT REQUIRED",IF(B616="","SERVICE REQUIRED",IF(COUNTIF(Clients!$A$5:$A$404,A616)=0,"CLIENT NOT FOUND",IF(COUNTIF(Services!$A$5:$A$104,B616)=0,"SERVICE NOT IN SERVICES","OK")))))</x:f>
      </x:c>
    </x:row>
    <x:row r="617">
      <x:c r="D617" s="100" t="str">
        <x:f>IF(AND(A617="",B617=""),"",IF(A617="","CLIENT REQUIRED",IF(B617="","SERVICE REQUIRED",IF(COUNTIF(Clients!$A$5:$A$404,A617)=0,"CLIENT NOT FOUND",IF(COUNTIF(Services!$A$5:$A$104,B617)=0,"SERVICE NOT IN SERVICES","OK")))))</x:f>
      </x:c>
    </x:row>
    <x:row r="618">
      <x:c r="D618" s="100" t="str">
        <x:f>IF(AND(A618="",B618=""),"",IF(A618="","CLIENT REQUIRED",IF(B618="","SERVICE REQUIRED",IF(COUNTIF(Clients!$A$5:$A$404,A618)=0,"CLIENT NOT FOUND",IF(COUNTIF(Services!$A$5:$A$104,B618)=0,"SERVICE NOT IN SERVICES","OK")))))</x:f>
      </x:c>
    </x:row>
    <x:row r="619">
      <x:c r="D619" s="100" t="str">
        <x:f>IF(AND(A619="",B619=""),"",IF(A619="","CLIENT REQUIRED",IF(B619="","SERVICE REQUIRED",IF(COUNTIF(Clients!$A$5:$A$404,A619)=0,"CLIENT NOT FOUND",IF(COUNTIF(Services!$A$5:$A$104,B619)=0,"SERVICE NOT IN SERVICES","OK")))))</x:f>
      </x:c>
    </x:row>
    <x:row r="620">
      <x:c r="D620" s="100" t="str">
        <x:f>IF(AND(A620="",B620=""),"",IF(A620="","CLIENT REQUIRED",IF(B620="","SERVICE REQUIRED",IF(COUNTIF(Clients!$A$5:$A$404,A620)=0,"CLIENT NOT FOUND",IF(COUNTIF(Services!$A$5:$A$104,B620)=0,"SERVICE NOT IN SERVICES","OK")))))</x:f>
      </x:c>
    </x:row>
    <x:row r="621">
      <x:c r="D621" s="100" t="str">
        <x:f>IF(AND(A621="",B621=""),"",IF(A621="","CLIENT REQUIRED",IF(B621="","SERVICE REQUIRED",IF(COUNTIF(Clients!$A$5:$A$404,A621)=0,"CLIENT NOT FOUND",IF(COUNTIF(Services!$A$5:$A$104,B621)=0,"SERVICE NOT IN SERVICES","OK")))))</x:f>
      </x:c>
    </x:row>
    <x:row r="622">
      <x:c r="D622" s="100" t="str">
        <x:f>IF(AND(A622="",B622=""),"",IF(A622="","CLIENT REQUIRED",IF(B622="","SERVICE REQUIRED",IF(COUNTIF(Clients!$A$5:$A$404,A622)=0,"CLIENT NOT FOUND",IF(COUNTIF(Services!$A$5:$A$104,B622)=0,"SERVICE NOT IN SERVICES","OK")))))</x:f>
      </x:c>
    </x:row>
    <x:row r="623">
      <x:c r="D623" s="100" t="str">
        <x:f>IF(AND(A623="",B623=""),"",IF(A623="","CLIENT REQUIRED",IF(B623="","SERVICE REQUIRED",IF(COUNTIF(Clients!$A$5:$A$404,A623)=0,"CLIENT NOT FOUND",IF(COUNTIF(Services!$A$5:$A$104,B623)=0,"SERVICE NOT IN SERVICES","OK")))))</x:f>
      </x:c>
    </x:row>
    <x:row r="624">
      <x:c r="D624" s="100" t="str">
        <x:f>IF(AND(A624="",B624=""),"",IF(A624="","CLIENT REQUIRED",IF(B624="","SERVICE REQUIRED",IF(COUNTIF(Clients!$A$5:$A$404,A624)=0,"CLIENT NOT FOUND",IF(COUNTIF(Services!$A$5:$A$104,B624)=0,"SERVICE NOT IN SERVICES","OK")))))</x:f>
      </x:c>
    </x:row>
    <x:row r="625">
      <x:c r="D625" s="100" t="str">
        <x:f>IF(AND(A625="",B625=""),"",IF(A625="","CLIENT REQUIRED",IF(B625="","SERVICE REQUIRED",IF(COUNTIF(Clients!$A$5:$A$404,A625)=0,"CLIENT NOT FOUND",IF(COUNTIF(Services!$A$5:$A$104,B625)=0,"SERVICE NOT IN SERVICES","OK")))))</x:f>
      </x:c>
    </x:row>
    <x:row r="626">
      <x:c r="D626" s="100" t="str">
        <x:f>IF(AND(A626="",B626=""),"",IF(A626="","CLIENT REQUIRED",IF(B626="","SERVICE REQUIRED",IF(COUNTIF(Clients!$A$5:$A$404,A626)=0,"CLIENT NOT FOUND",IF(COUNTIF(Services!$A$5:$A$104,B626)=0,"SERVICE NOT IN SERVICES","OK")))))</x:f>
      </x:c>
    </x:row>
    <x:row r="627">
      <x:c r="D627" s="100" t="str">
        <x:f>IF(AND(A627="",B627=""),"",IF(A627="","CLIENT REQUIRED",IF(B627="","SERVICE REQUIRED",IF(COUNTIF(Clients!$A$5:$A$404,A627)=0,"CLIENT NOT FOUND",IF(COUNTIF(Services!$A$5:$A$104,B627)=0,"SERVICE NOT IN SERVICES","OK")))))</x:f>
      </x:c>
    </x:row>
    <x:row r="628">
      <x:c r="D628" s="100" t="str">
        <x:f>IF(AND(A628="",B628=""),"",IF(A628="","CLIENT REQUIRED",IF(B628="","SERVICE REQUIRED",IF(COUNTIF(Clients!$A$5:$A$404,A628)=0,"CLIENT NOT FOUND",IF(COUNTIF(Services!$A$5:$A$104,B628)=0,"SERVICE NOT IN SERVICES","OK")))))</x:f>
      </x:c>
    </x:row>
    <x:row r="629">
      <x:c r="D629" s="100" t="str">
        <x:f>IF(AND(A629="",B629=""),"",IF(A629="","CLIENT REQUIRED",IF(B629="","SERVICE REQUIRED",IF(COUNTIF(Clients!$A$5:$A$404,A629)=0,"CLIENT NOT FOUND",IF(COUNTIF(Services!$A$5:$A$104,B629)=0,"SERVICE NOT IN SERVICES","OK")))))</x:f>
      </x:c>
    </x:row>
    <x:row r="630">
      <x:c r="D630" s="100" t="str">
        <x:f>IF(AND(A630="",B630=""),"",IF(A630="","CLIENT REQUIRED",IF(B630="","SERVICE REQUIRED",IF(COUNTIF(Clients!$A$5:$A$404,A630)=0,"CLIENT NOT FOUND",IF(COUNTIF(Services!$A$5:$A$104,B630)=0,"SERVICE NOT IN SERVICES","OK")))))</x:f>
      </x:c>
    </x:row>
    <x:row r="631">
      <x:c r="D631" s="100" t="str">
        <x:f>IF(AND(A631="",B631=""),"",IF(A631="","CLIENT REQUIRED",IF(B631="","SERVICE REQUIRED",IF(COUNTIF(Clients!$A$5:$A$404,A631)=0,"CLIENT NOT FOUND",IF(COUNTIF(Services!$A$5:$A$104,B631)=0,"SERVICE NOT IN SERVICES","OK")))))</x:f>
      </x:c>
    </x:row>
    <x:row r="632">
      <x:c r="D632" s="100" t="str">
        <x:f>IF(AND(A632="",B632=""),"",IF(A632="","CLIENT REQUIRED",IF(B632="","SERVICE REQUIRED",IF(COUNTIF(Clients!$A$5:$A$404,A632)=0,"CLIENT NOT FOUND",IF(COUNTIF(Services!$A$5:$A$104,B632)=0,"SERVICE NOT IN SERVICES","OK")))))</x:f>
      </x:c>
    </x:row>
    <x:row r="633">
      <x:c r="D633" s="100" t="str">
        <x:f>IF(AND(A633="",B633=""),"",IF(A633="","CLIENT REQUIRED",IF(B633="","SERVICE REQUIRED",IF(COUNTIF(Clients!$A$5:$A$404,A633)=0,"CLIENT NOT FOUND",IF(COUNTIF(Services!$A$5:$A$104,B633)=0,"SERVICE NOT IN SERVICES","OK")))))</x:f>
      </x:c>
    </x:row>
    <x:row r="634">
      <x:c r="D634" s="100" t="str">
        <x:f>IF(AND(A634="",B634=""),"",IF(A634="","CLIENT REQUIRED",IF(B634="","SERVICE REQUIRED",IF(COUNTIF(Clients!$A$5:$A$404,A634)=0,"CLIENT NOT FOUND",IF(COUNTIF(Services!$A$5:$A$104,B634)=0,"SERVICE NOT IN SERVICES","OK")))))</x:f>
      </x:c>
    </x:row>
    <x:row r="635">
      <x:c r="D635" s="100" t="str">
        <x:f>IF(AND(A635="",B635=""),"",IF(A635="","CLIENT REQUIRED",IF(B635="","SERVICE REQUIRED",IF(COUNTIF(Clients!$A$5:$A$404,A635)=0,"CLIENT NOT FOUND",IF(COUNTIF(Services!$A$5:$A$104,B635)=0,"SERVICE NOT IN SERVICES","OK")))))</x:f>
      </x:c>
    </x:row>
    <x:row r="636">
      <x:c r="D636" s="100" t="str">
        <x:f>IF(AND(A636="",B636=""),"",IF(A636="","CLIENT REQUIRED",IF(B636="","SERVICE REQUIRED",IF(COUNTIF(Clients!$A$5:$A$404,A636)=0,"CLIENT NOT FOUND",IF(COUNTIF(Services!$A$5:$A$104,B636)=0,"SERVICE NOT IN SERVICES","OK")))))</x:f>
      </x:c>
    </x:row>
    <x:row r="637">
      <x:c r="D637" s="100" t="str">
        <x:f>IF(AND(A637="",B637=""),"",IF(A637="","CLIENT REQUIRED",IF(B637="","SERVICE REQUIRED",IF(COUNTIF(Clients!$A$5:$A$404,A637)=0,"CLIENT NOT FOUND",IF(COUNTIF(Services!$A$5:$A$104,B637)=0,"SERVICE NOT IN SERVICES","OK")))))</x:f>
      </x:c>
    </x:row>
    <x:row r="638">
      <x:c r="D638" s="100" t="str">
        <x:f>IF(AND(A638="",B638=""),"",IF(A638="","CLIENT REQUIRED",IF(B638="","SERVICE REQUIRED",IF(COUNTIF(Clients!$A$5:$A$404,A638)=0,"CLIENT NOT FOUND",IF(COUNTIF(Services!$A$5:$A$104,B638)=0,"SERVICE NOT IN SERVICES","OK")))))</x:f>
      </x:c>
    </x:row>
    <x:row r="639">
      <x:c r="D639" s="100" t="str">
        <x:f>IF(AND(A639="",B639=""),"",IF(A639="","CLIENT REQUIRED",IF(B639="","SERVICE REQUIRED",IF(COUNTIF(Clients!$A$5:$A$404,A639)=0,"CLIENT NOT FOUND",IF(COUNTIF(Services!$A$5:$A$104,B639)=0,"SERVICE NOT IN SERVICES","OK")))))</x:f>
      </x:c>
    </x:row>
    <x:row r="640">
      <x:c r="D640" s="100" t="str">
        <x:f>IF(AND(A640="",B640=""),"",IF(A640="","CLIENT REQUIRED",IF(B640="","SERVICE REQUIRED",IF(COUNTIF(Clients!$A$5:$A$404,A640)=0,"CLIENT NOT FOUND",IF(COUNTIF(Services!$A$5:$A$104,B640)=0,"SERVICE NOT IN SERVICES","OK")))))</x:f>
      </x:c>
    </x:row>
    <x:row r="641">
      <x:c r="D641" s="100" t="str">
        <x:f>IF(AND(A641="",B641=""),"",IF(A641="","CLIENT REQUIRED",IF(B641="","SERVICE REQUIRED",IF(COUNTIF(Clients!$A$5:$A$404,A641)=0,"CLIENT NOT FOUND",IF(COUNTIF(Services!$A$5:$A$104,B641)=0,"SERVICE NOT IN SERVICES","OK")))))</x:f>
      </x:c>
    </x:row>
    <x:row r="642">
      <x:c r="D642" s="100" t="str">
        <x:f>IF(AND(A642="",B642=""),"",IF(A642="","CLIENT REQUIRED",IF(B642="","SERVICE REQUIRED",IF(COUNTIF(Clients!$A$5:$A$404,A642)=0,"CLIENT NOT FOUND",IF(COUNTIF(Services!$A$5:$A$104,B642)=0,"SERVICE NOT IN SERVICES","OK")))))</x:f>
      </x:c>
    </x:row>
    <x:row r="643">
      <x:c r="D643" s="100" t="str">
        <x:f>IF(AND(A643="",B643=""),"",IF(A643="","CLIENT REQUIRED",IF(B643="","SERVICE REQUIRED",IF(COUNTIF(Clients!$A$5:$A$404,A643)=0,"CLIENT NOT FOUND",IF(COUNTIF(Services!$A$5:$A$104,B643)=0,"SERVICE NOT IN SERVICES","OK")))))</x:f>
      </x:c>
    </x:row>
    <x:row r="644">
      <x:c r="D644" s="100" t="str">
        <x:f>IF(AND(A644="",B644=""),"",IF(A644="","CLIENT REQUIRED",IF(B644="","SERVICE REQUIRED",IF(COUNTIF(Clients!$A$5:$A$404,A644)=0,"CLIENT NOT FOUND",IF(COUNTIF(Services!$A$5:$A$104,B644)=0,"SERVICE NOT IN SERVICES","OK")))))</x:f>
      </x:c>
    </x:row>
    <x:row r="645">
      <x:c r="D645" s="100" t="str">
        <x:f>IF(AND(A645="",B645=""),"",IF(A645="","CLIENT REQUIRED",IF(B645="","SERVICE REQUIRED",IF(COUNTIF(Clients!$A$5:$A$404,A645)=0,"CLIENT NOT FOUND",IF(COUNTIF(Services!$A$5:$A$104,B645)=0,"SERVICE NOT IN SERVICES","OK")))))</x:f>
      </x:c>
    </x:row>
    <x:row r="646">
      <x:c r="D646" s="100" t="str">
        <x:f>IF(AND(A646="",B646=""),"",IF(A646="","CLIENT REQUIRED",IF(B646="","SERVICE REQUIRED",IF(COUNTIF(Clients!$A$5:$A$404,A646)=0,"CLIENT NOT FOUND",IF(COUNTIF(Services!$A$5:$A$104,B646)=0,"SERVICE NOT IN SERVICES","OK")))))</x:f>
      </x:c>
    </x:row>
    <x:row r="647">
      <x:c r="D647" s="100" t="str">
        <x:f>IF(AND(A647="",B647=""),"",IF(A647="","CLIENT REQUIRED",IF(B647="","SERVICE REQUIRED",IF(COUNTIF(Clients!$A$5:$A$404,A647)=0,"CLIENT NOT FOUND",IF(COUNTIF(Services!$A$5:$A$104,B647)=0,"SERVICE NOT IN SERVICES","OK")))))</x:f>
      </x:c>
    </x:row>
    <x:row r="648">
      <x:c r="D648" s="100" t="str">
        <x:f>IF(AND(A648="",B648=""),"",IF(A648="","CLIENT REQUIRED",IF(B648="","SERVICE REQUIRED",IF(COUNTIF(Clients!$A$5:$A$404,A648)=0,"CLIENT NOT FOUND",IF(COUNTIF(Services!$A$5:$A$104,B648)=0,"SERVICE NOT IN SERVICES","OK")))))</x:f>
      </x:c>
    </x:row>
    <x:row r="649">
      <x:c r="D649" s="100" t="str">
        <x:f>IF(AND(A649="",B649=""),"",IF(A649="","CLIENT REQUIRED",IF(B649="","SERVICE REQUIRED",IF(COUNTIF(Clients!$A$5:$A$404,A649)=0,"CLIENT NOT FOUND",IF(COUNTIF(Services!$A$5:$A$104,B649)=0,"SERVICE NOT IN SERVICES","OK")))))</x:f>
      </x:c>
    </x:row>
    <x:row r="650">
      <x:c r="D650" s="100" t="str">
        <x:f>IF(AND(A650="",B650=""),"",IF(A650="","CLIENT REQUIRED",IF(B650="","SERVICE REQUIRED",IF(COUNTIF(Clients!$A$5:$A$404,A650)=0,"CLIENT NOT FOUND",IF(COUNTIF(Services!$A$5:$A$104,B650)=0,"SERVICE NOT IN SERVICES","OK")))))</x:f>
      </x:c>
    </x:row>
    <x:row r="651">
      <x:c r="D651" s="100" t="str">
        <x:f>IF(AND(A651="",B651=""),"",IF(A651="","CLIENT REQUIRED",IF(B651="","SERVICE REQUIRED",IF(COUNTIF(Clients!$A$5:$A$404,A651)=0,"CLIENT NOT FOUND",IF(COUNTIF(Services!$A$5:$A$104,B651)=0,"SERVICE NOT IN SERVICES","OK")))))</x:f>
      </x:c>
    </x:row>
    <x:row r="652">
      <x:c r="D652" s="100" t="str">
        <x:f>IF(AND(A652="",B652=""),"",IF(A652="","CLIENT REQUIRED",IF(B652="","SERVICE REQUIRED",IF(COUNTIF(Clients!$A$5:$A$404,A652)=0,"CLIENT NOT FOUND",IF(COUNTIF(Services!$A$5:$A$104,B652)=0,"SERVICE NOT IN SERVICES","OK")))))</x:f>
      </x:c>
    </x:row>
    <x:row r="653">
      <x:c r="D653" s="100" t="str">
        <x:f>IF(AND(A653="",B653=""),"",IF(A653="","CLIENT REQUIRED",IF(B653="","SERVICE REQUIRED",IF(COUNTIF(Clients!$A$5:$A$404,A653)=0,"CLIENT NOT FOUND",IF(COUNTIF(Services!$A$5:$A$104,B653)=0,"SERVICE NOT IN SERVICES","OK")))))</x:f>
      </x:c>
    </x:row>
    <x:row r="654">
      <x:c r="D654" s="100" t="str">
        <x:f>IF(AND(A654="",B654=""),"",IF(A654="","CLIENT REQUIRED",IF(B654="","SERVICE REQUIRED",IF(COUNTIF(Clients!$A$5:$A$404,A654)=0,"CLIENT NOT FOUND",IF(COUNTIF(Services!$A$5:$A$104,B654)=0,"SERVICE NOT IN SERVICES","OK")))))</x:f>
      </x:c>
    </x:row>
    <x:row r="655">
      <x:c r="D655" s="100" t="str">
        <x:f>IF(AND(A655="",B655=""),"",IF(A655="","CLIENT REQUIRED",IF(B655="","SERVICE REQUIRED",IF(COUNTIF(Clients!$A$5:$A$404,A655)=0,"CLIENT NOT FOUND",IF(COUNTIF(Services!$A$5:$A$104,B655)=0,"SERVICE NOT IN SERVICES","OK")))))</x:f>
      </x:c>
    </x:row>
    <x:row r="656">
      <x:c r="D656" s="100" t="str">
        <x:f>IF(AND(A656="",B656=""),"",IF(A656="","CLIENT REQUIRED",IF(B656="","SERVICE REQUIRED",IF(COUNTIF(Clients!$A$5:$A$404,A656)=0,"CLIENT NOT FOUND",IF(COUNTIF(Services!$A$5:$A$104,B656)=0,"SERVICE NOT IN SERVICES","OK")))))</x:f>
      </x:c>
    </x:row>
    <x:row r="657">
      <x:c r="D657" s="100" t="str">
        <x:f>IF(AND(A657="",B657=""),"",IF(A657="","CLIENT REQUIRED",IF(B657="","SERVICE REQUIRED",IF(COUNTIF(Clients!$A$5:$A$404,A657)=0,"CLIENT NOT FOUND",IF(COUNTIF(Services!$A$5:$A$104,B657)=0,"SERVICE NOT IN SERVICES","OK")))))</x:f>
      </x:c>
    </x:row>
    <x:row r="658">
      <x:c r="D658" s="100" t="str">
        <x:f>IF(AND(A658="",B658=""),"",IF(A658="","CLIENT REQUIRED",IF(B658="","SERVICE REQUIRED",IF(COUNTIF(Clients!$A$5:$A$404,A658)=0,"CLIENT NOT FOUND",IF(COUNTIF(Services!$A$5:$A$104,B658)=0,"SERVICE NOT IN SERVICES","OK")))))</x:f>
      </x:c>
    </x:row>
    <x:row r="659">
      <x:c r="D659" s="100" t="str">
        <x:f>IF(AND(A659="",B659=""),"",IF(A659="","CLIENT REQUIRED",IF(B659="","SERVICE REQUIRED",IF(COUNTIF(Clients!$A$5:$A$404,A659)=0,"CLIENT NOT FOUND",IF(COUNTIF(Services!$A$5:$A$104,B659)=0,"SERVICE NOT IN SERVICES","OK")))))</x:f>
      </x:c>
    </x:row>
    <x:row r="660">
      <x:c r="D660" s="100" t="str">
        <x:f>IF(AND(A660="",B660=""),"",IF(A660="","CLIENT REQUIRED",IF(B660="","SERVICE REQUIRED",IF(COUNTIF(Clients!$A$5:$A$404,A660)=0,"CLIENT NOT FOUND",IF(COUNTIF(Services!$A$5:$A$104,B660)=0,"SERVICE NOT IN SERVICES","OK")))))</x:f>
      </x:c>
    </x:row>
    <x:row r="661">
      <x:c r="D661" s="100" t="str">
        <x:f>IF(AND(A661="",B661=""),"",IF(A661="","CLIENT REQUIRED",IF(B661="","SERVICE REQUIRED",IF(COUNTIF(Clients!$A$5:$A$404,A661)=0,"CLIENT NOT FOUND",IF(COUNTIF(Services!$A$5:$A$104,B661)=0,"SERVICE NOT IN SERVICES","OK")))))</x:f>
      </x:c>
    </x:row>
    <x:row r="662">
      <x:c r="D662" s="100" t="str">
        <x:f>IF(AND(A662="",B662=""),"",IF(A662="","CLIENT REQUIRED",IF(B662="","SERVICE REQUIRED",IF(COUNTIF(Clients!$A$5:$A$404,A662)=0,"CLIENT NOT FOUND",IF(COUNTIF(Services!$A$5:$A$104,B662)=0,"SERVICE NOT IN SERVICES","OK")))))</x:f>
      </x:c>
    </x:row>
    <x:row r="663">
      <x:c r="D663" s="100" t="str">
        <x:f>IF(AND(A663="",B663=""),"",IF(A663="","CLIENT REQUIRED",IF(B663="","SERVICE REQUIRED",IF(COUNTIF(Clients!$A$5:$A$404,A663)=0,"CLIENT NOT FOUND",IF(COUNTIF(Services!$A$5:$A$104,B663)=0,"SERVICE NOT IN SERVICES","OK")))))</x:f>
      </x:c>
    </x:row>
    <x:row r="664">
      <x:c r="D664" s="100" t="str">
        <x:f>IF(AND(A664="",B664=""),"",IF(A664="","CLIENT REQUIRED",IF(B664="","SERVICE REQUIRED",IF(COUNTIF(Clients!$A$5:$A$404,A664)=0,"CLIENT NOT FOUND",IF(COUNTIF(Services!$A$5:$A$104,B664)=0,"SERVICE NOT IN SERVICES","OK")))))</x:f>
      </x:c>
    </x:row>
    <x:row r="665">
      <x:c r="D665" s="100" t="str">
        <x:f>IF(AND(A665="",B665=""),"",IF(A665="","CLIENT REQUIRED",IF(B665="","SERVICE REQUIRED",IF(COUNTIF(Clients!$A$5:$A$404,A665)=0,"CLIENT NOT FOUND",IF(COUNTIF(Services!$A$5:$A$104,B665)=0,"SERVICE NOT IN SERVICES","OK")))))</x:f>
      </x:c>
    </x:row>
    <x:row r="666">
      <x:c r="D666" s="100" t="str">
        <x:f>IF(AND(A666="",B666=""),"",IF(A666="","CLIENT REQUIRED",IF(B666="","SERVICE REQUIRED",IF(COUNTIF(Clients!$A$5:$A$404,A666)=0,"CLIENT NOT FOUND",IF(COUNTIF(Services!$A$5:$A$104,B666)=0,"SERVICE NOT IN SERVICES","OK")))))</x:f>
      </x:c>
    </x:row>
    <x:row r="667">
      <x:c r="D667" s="100" t="str">
        <x:f>IF(AND(A667="",B667=""),"",IF(A667="","CLIENT REQUIRED",IF(B667="","SERVICE REQUIRED",IF(COUNTIF(Clients!$A$5:$A$404,A667)=0,"CLIENT NOT FOUND",IF(COUNTIF(Services!$A$5:$A$104,B667)=0,"SERVICE NOT IN SERVICES","OK")))))</x:f>
      </x:c>
    </x:row>
    <x:row r="668">
      <x:c r="D668" s="100" t="str">
        <x:f>IF(AND(A668="",B668=""),"",IF(A668="","CLIENT REQUIRED",IF(B668="","SERVICE REQUIRED",IF(COUNTIF(Clients!$A$5:$A$404,A668)=0,"CLIENT NOT FOUND",IF(COUNTIF(Services!$A$5:$A$104,B668)=0,"SERVICE NOT IN SERVICES","OK")))))</x:f>
      </x:c>
    </x:row>
    <x:row r="669">
      <x:c r="D669" s="100" t="str">
        <x:f>IF(AND(A669="",B669=""),"",IF(A669="","CLIENT REQUIRED",IF(B669="","SERVICE REQUIRED",IF(COUNTIF(Clients!$A$5:$A$404,A669)=0,"CLIENT NOT FOUND",IF(COUNTIF(Services!$A$5:$A$104,B669)=0,"SERVICE NOT IN SERVICES","OK")))))</x:f>
      </x:c>
    </x:row>
    <x:row r="670">
      <x:c r="D670" s="100" t="str">
        <x:f>IF(AND(A670="",B670=""),"",IF(A670="","CLIENT REQUIRED",IF(B670="","SERVICE REQUIRED",IF(COUNTIF(Clients!$A$5:$A$404,A670)=0,"CLIENT NOT FOUND",IF(COUNTIF(Services!$A$5:$A$104,B670)=0,"SERVICE NOT IN SERVICES","OK")))))</x:f>
      </x:c>
    </x:row>
    <x:row r="671">
      <x:c r="D671" s="100" t="str">
        <x:f>IF(AND(A671="",B671=""),"",IF(A671="","CLIENT REQUIRED",IF(B671="","SERVICE REQUIRED",IF(COUNTIF(Clients!$A$5:$A$404,A671)=0,"CLIENT NOT FOUND",IF(COUNTIF(Services!$A$5:$A$104,B671)=0,"SERVICE NOT IN SERVICES","OK")))))</x:f>
      </x:c>
    </x:row>
    <x:row r="672">
      <x:c r="D672" s="100" t="str">
        <x:f>IF(AND(A672="",B672=""),"",IF(A672="","CLIENT REQUIRED",IF(B672="","SERVICE REQUIRED",IF(COUNTIF(Clients!$A$5:$A$404,A672)=0,"CLIENT NOT FOUND",IF(COUNTIF(Services!$A$5:$A$104,B672)=0,"SERVICE NOT IN SERVICES","OK")))))</x:f>
      </x:c>
    </x:row>
    <x:row r="673">
      <x:c r="D673" s="100" t="str">
        <x:f>IF(AND(A673="",B673=""),"",IF(A673="","CLIENT REQUIRED",IF(B673="","SERVICE REQUIRED",IF(COUNTIF(Clients!$A$5:$A$404,A673)=0,"CLIENT NOT FOUND",IF(COUNTIF(Services!$A$5:$A$104,B673)=0,"SERVICE NOT IN SERVICES","OK")))))</x:f>
      </x:c>
    </x:row>
    <x:row r="674">
      <x:c r="D674" s="100" t="str">
        <x:f>IF(AND(A674="",B674=""),"",IF(A674="","CLIENT REQUIRED",IF(B674="","SERVICE REQUIRED",IF(COUNTIF(Clients!$A$5:$A$404,A674)=0,"CLIENT NOT FOUND",IF(COUNTIF(Services!$A$5:$A$104,B674)=0,"SERVICE NOT IN SERVICES","OK")))))</x:f>
      </x:c>
    </x:row>
    <x:row r="675">
      <x:c r="D675" s="100" t="str">
        <x:f>IF(AND(A675="",B675=""),"",IF(A675="","CLIENT REQUIRED",IF(B675="","SERVICE REQUIRED",IF(COUNTIF(Clients!$A$5:$A$404,A675)=0,"CLIENT NOT FOUND",IF(COUNTIF(Services!$A$5:$A$104,B675)=0,"SERVICE NOT IN SERVICES","OK")))))</x:f>
      </x:c>
    </x:row>
    <x:row r="676">
      <x:c r="D676" s="100" t="str">
        <x:f>IF(AND(A676="",B676=""),"",IF(A676="","CLIENT REQUIRED",IF(B676="","SERVICE REQUIRED",IF(COUNTIF(Clients!$A$5:$A$404,A676)=0,"CLIENT NOT FOUND",IF(COUNTIF(Services!$A$5:$A$104,B676)=0,"SERVICE NOT IN SERVICES","OK")))))</x:f>
      </x:c>
    </x:row>
    <x:row r="677">
      <x:c r="D677" s="100" t="str">
        <x:f>IF(AND(A677="",B677=""),"",IF(A677="","CLIENT REQUIRED",IF(B677="","SERVICE REQUIRED",IF(COUNTIF(Clients!$A$5:$A$404,A677)=0,"CLIENT NOT FOUND",IF(COUNTIF(Services!$A$5:$A$104,B677)=0,"SERVICE NOT IN SERVICES","OK")))))</x:f>
      </x:c>
    </x:row>
    <x:row r="678">
      <x:c r="D678" s="100" t="str">
        <x:f>IF(AND(A678="",B678=""),"",IF(A678="","CLIENT REQUIRED",IF(B678="","SERVICE REQUIRED",IF(COUNTIF(Clients!$A$5:$A$404,A678)=0,"CLIENT NOT FOUND",IF(COUNTIF(Services!$A$5:$A$104,B678)=0,"SERVICE NOT IN SERVICES","OK")))))</x:f>
      </x:c>
    </x:row>
    <x:row r="679">
      <x:c r="D679" s="100" t="str">
        <x:f>IF(AND(A679="",B679=""),"",IF(A679="","CLIENT REQUIRED",IF(B679="","SERVICE REQUIRED",IF(COUNTIF(Clients!$A$5:$A$404,A679)=0,"CLIENT NOT FOUND",IF(COUNTIF(Services!$A$5:$A$104,B679)=0,"SERVICE NOT IN SERVICES","OK")))))</x:f>
      </x:c>
    </x:row>
    <x:row r="680">
      <x:c r="D680" s="100" t="str">
        <x:f>IF(AND(A680="",B680=""),"",IF(A680="","CLIENT REQUIRED",IF(B680="","SERVICE REQUIRED",IF(COUNTIF(Clients!$A$5:$A$404,A680)=0,"CLIENT NOT FOUND",IF(COUNTIF(Services!$A$5:$A$104,B680)=0,"SERVICE NOT IN SERVICES","OK")))))</x:f>
      </x:c>
    </x:row>
    <x:row r="681">
      <x:c r="D681" s="100" t="str">
        <x:f>IF(AND(A681="",B681=""),"",IF(A681="","CLIENT REQUIRED",IF(B681="","SERVICE REQUIRED",IF(COUNTIF(Clients!$A$5:$A$404,A681)=0,"CLIENT NOT FOUND",IF(COUNTIF(Services!$A$5:$A$104,B681)=0,"SERVICE NOT IN SERVICES","OK")))))</x:f>
      </x:c>
    </x:row>
    <x:row r="682">
      <x:c r="D682" s="100" t="str">
        <x:f>IF(AND(A682="",B682=""),"",IF(A682="","CLIENT REQUIRED",IF(B682="","SERVICE REQUIRED",IF(COUNTIF(Clients!$A$5:$A$404,A682)=0,"CLIENT NOT FOUND",IF(COUNTIF(Services!$A$5:$A$104,B682)=0,"SERVICE NOT IN SERVICES","OK")))))</x:f>
      </x:c>
    </x:row>
    <x:row r="683">
      <x:c r="D683" s="100" t="str">
        <x:f>IF(AND(A683="",B683=""),"",IF(A683="","CLIENT REQUIRED",IF(B683="","SERVICE REQUIRED",IF(COUNTIF(Clients!$A$5:$A$404,A683)=0,"CLIENT NOT FOUND",IF(COUNTIF(Services!$A$5:$A$104,B683)=0,"SERVICE NOT IN SERVICES","OK")))))</x:f>
      </x:c>
    </x:row>
    <x:row r="684">
      <x:c r="D684" s="100" t="str">
        <x:f>IF(AND(A684="",B684=""),"",IF(A684="","CLIENT REQUIRED",IF(B684="","SERVICE REQUIRED",IF(COUNTIF(Clients!$A$5:$A$404,A684)=0,"CLIENT NOT FOUND",IF(COUNTIF(Services!$A$5:$A$104,B684)=0,"SERVICE NOT IN SERVICES","OK")))))</x:f>
      </x:c>
    </x:row>
    <x:row r="685">
      <x:c r="D685" s="100" t="str">
        <x:f>IF(AND(A685="",B685=""),"",IF(A685="","CLIENT REQUIRED",IF(B685="","SERVICE REQUIRED",IF(COUNTIF(Clients!$A$5:$A$404,A685)=0,"CLIENT NOT FOUND",IF(COUNTIF(Services!$A$5:$A$104,B685)=0,"SERVICE NOT IN SERVICES","OK")))))</x:f>
      </x:c>
    </x:row>
    <x:row r="686">
      <x:c r="D686" s="100" t="str">
        <x:f>IF(AND(A686="",B686=""),"",IF(A686="","CLIENT REQUIRED",IF(B686="","SERVICE REQUIRED",IF(COUNTIF(Clients!$A$5:$A$404,A686)=0,"CLIENT NOT FOUND",IF(COUNTIF(Services!$A$5:$A$104,B686)=0,"SERVICE NOT IN SERVICES","OK")))))</x:f>
      </x:c>
    </x:row>
    <x:row r="687">
      <x:c r="D687" s="100" t="str">
        <x:f>IF(AND(A687="",B687=""),"",IF(A687="","CLIENT REQUIRED",IF(B687="","SERVICE REQUIRED",IF(COUNTIF(Clients!$A$5:$A$404,A687)=0,"CLIENT NOT FOUND",IF(COUNTIF(Services!$A$5:$A$104,B687)=0,"SERVICE NOT IN SERVICES","OK")))))</x:f>
      </x:c>
    </x:row>
    <x:row r="688">
      <x:c r="D688" s="100" t="str">
        <x:f>IF(AND(A688="",B688=""),"",IF(A688="","CLIENT REQUIRED",IF(B688="","SERVICE REQUIRED",IF(COUNTIF(Clients!$A$5:$A$404,A688)=0,"CLIENT NOT FOUND",IF(COUNTIF(Services!$A$5:$A$104,B688)=0,"SERVICE NOT IN SERVICES","OK")))))</x:f>
      </x:c>
    </x:row>
    <x:row r="689">
      <x:c r="D689" s="100" t="str">
        <x:f>IF(AND(A689="",B689=""),"",IF(A689="","CLIENT REQUIRED",IF(B689="","SERVICE REQUIRED",IF(COUNTIF(Clients!$A$5:$A$404,A689)=0,"CLIENT NOT FOUND",IF(COUNTIF(Services!$A$5:$A$104,B689)=0,"SERVICE NOT IN SERVICES","OK")))))</x:f>
      </x:c>
    </x:row>
    <x:row r="690">
      <x:c r="D690" s="100" t="str">
        <x:f>IF(AND(A690="",B690=""),"",IF(A690="","CLIENT REQUIRED",IF(B690="","SERVICE REQUIRED",IF(COUNTIF(Clients!$A$5:$A$404,A690)=0,"CLIENT NOT FOUND",IF(COUNTIF(Services!$A$5:$A$104,B690)=0,"SERVICE NOT IN SERVICES","OK")))))</x:f>
      </x:c>
    </x:row>
    <x:row r="691">
      <x:c r="D691" s="100" t="str">
        <x:f>IF(AND(A691="",B691=""),"",IF(A691="","CLIENT REQUIRED",IF(B691="","SERVICE REQUIRED",IF(COUNTIF(Clients!$A$5:$A$404,A691)=0,"CLIENT NOT FOUND",IF(COUNTIF(Services!$A$5:$A$104,B691)=0,"SERVICE NOT IN SERVICES","OK")))))</x:f>
      </x:c>
    </x:row>
    <x:row r="692">
      <x:c r="D692" s="100" t="str">
        <x:f>IF(AND(A692="",B692=""),"",IF(A692="","CLIENT REQUIRED",IF(B692="","SERVICE REQUIRED",IF(COUNTIF(Clients!$A$5:$A$404,A692)=0,"CLIENT NOT FOUND",IF(COUNTIF(Services!$A$5:$A$104,B692)=0,"SERVICE NOT IN SERVICES","OK")))))</x:f>
      </x:c>
    </x:row>
    <x:row r="693">
      <x:c r="D693" s="100" t="str">
        <x:f>IF(AND(A693="",B693=""),"",IF(A693="","CLIENT REQUIRED",IF(B693="","SERVICE REQUIRED",IF(COUNTIF(Clients!$A$5:$A$404,A693)=0,"CLIENT NOT FOUND",IF(COUNTIF(Services!$A$5:$A$104,B693)=0,"SERVICE NOT IN SERVICES","OK")))))</x:f>
      </x:c>
    </x:row>
    <x:row r="694">
      <x:c r="D694" s="100" t="str">
        <x:f>IF(AND(A694="",B694=""),"",IF(A694="","CLIENT REQUIRED",IF(B694="","SERVICE REQUIRED",IF(COUNTIF(Clients!$A$5:$A$404,A694)=0,"CLIENT NOT FOUND",IF(COUNTIF(Services!$A$5:$A$104,B694)=0,"SERVICE NOT IN SERVICES","OK")))))</x:f>
      </x:c>
    </x:row>
    <x:row r="695">
      <x:c r="D695" s="100" t="str">
        <x:f>IF(AND(A695="",B695=""),"",IF(A695="","CLIENT REQUIRED",IF(B695="","SERVICE REQUIRED",IF(COUNTIF(Clients!$A$5:$A$404,A695)=0,"CLIENT NOT FOUND",IF(COUNTIF(Services!$A$5:$A$104,B695)=0,"SERVICE NOT IN SERVICES","OK")))))</x:f>
      </x:c>
    </x:row>
    <x:row r="696">
      <x:c r="D696" s="100" t="str">
        <x:f>IF(AND(A696="",B696=""),"",IF(A696="","CLIENT REQUIRED",IF(B696="","SERVICE REQUIRED",IF(COUNTIF(Clients!$A$5:$A$404,A696)=0,"CLIENT NOT FOUND",IF(COUNTIF(Services!$A$5:$A$104,B696)=0,"SERVICE NOT IN SERVICES","OK")))))</x:f>
      </x:c>
    </x:row>
    <x:row r="697">
      <x:c r="D697" s="100" t="str">
        <x:f>IF(AND(A697="",B697=""),"",IF(A697="","CLIENT REQUIRED",IF(B697="","SERVICE REQUIRED",IF(COUNTIF(Clients!$A$5:$A$404,A697)=0,"CLIENT NOT FOUND",IF(COUNTIF(Services!$A$5:$A$104,B697)=0,"SERVICE NOT IN SERVICES","OK")))))</x:f>
      </x:c>
    </x:row>
    <x:row r="698">
      <x:c r="D698" s="100" t="str">
        <x:f>IF(AND(A698="",B698=""),"",IF(A698="","CLIENT REQUIRED",IF(B698="","SERVICE REQUIRED",IF(COUNTIF(Clients!$A$5:$A$404,A698)=0,"CLIENT NOT FOUND",IF(COUNTIF(Services!$A$5:$A$104,B698)=0,"SERVICE NOT IN SERVICES","OK")))))</x:f>
      </x:c>
    </x:row>
    <x:row r="699">
      <x:c r="D699" s="100" t="str">
        <x:f>IF(AND(A699="",B699=""),"",IF(A699="","CLIENT REQUIRED",IF(B699="","SERVICE REQUIRED",IF(COUNTIF(Clients!$A$5:$A$404,A699)=0,"CLIENT NOT FOUND",IF(COUNTIF(Services!$A$5:$A$104,B699)=0,"SERVICE NOT IN SERVICES","OK")))))</x:f>
      </x:c>
    </x:row>
    <x:row r="700">
      <x:c r="D700" s="100" t="str">
        <x:f>IF(AND(A700="",B700=""),"",IF(A700="","CLIENT REQUIRED",IF(B700="","SERVICE REQUIRED",IF(COUNTIF(Clients!$A$5:$A$404,A700)=0,"CLIENT NOT FOUND",IF(COUNTIF(Services!$A$5:$A$104,B700)=0,"SERVICE NOT IN SERVICES","OK")))))</x:f>
      </x:c>
    </x:row>
    <x:row r="701">
      <x:c r="D701" s="100" t="str">
        <x:f>IF(AND(A701="",B701=""),"",IF(A701="","CLIENT REQUIRED",IF(B701="","SERVICE REQUIRED",IF(COUNTIF(Clients!$A$5:$A$404,A701)=0,"CLIENT NOT FOUND",IF(COUNTIF(Services!$A$5:$A$104,B701)=0,"SERVICE NOT IN SERVICES","OK")))))</x:f>
      </x:c>
    </x:row>
    <x:row r="702">
      <x:c r="D702" s="100" t="str">
        <x:f>IF(AND(A702="",B702=""),"",IF(A702="","CLIENT REQUIRED",IF(B702="","SERVICE REQUIRED",IF(COUNTIF(Clients!$A$5:$A$404,A702)=0,"CLIENT NOT FOUND",IF(COUNTIF(Services!$A$5:$A$104,B702)=0,"SERVICE NOT IN SERVICES","OK")))))</x:f>
      </x:c>
    </x:row>
    <x:row r="703">
      <x:c r="D703" s="100" t="str">
        <x:f>IF(AND(A703="",B703=""),"",IF(A703="","CLIENT REQUIRED",IF(B703="","SERVICE REQUIRED",IF(COUNTIF(Clients!$A$5:$A$404,A703)=0,"CLIENT NOT FOUND",IF(COUNTIF(Services!$A$5:$A$104,B703)=0,"SERVICE NOT IN SERVICES","OK")))))</x:f>
      </x:c>
    </x:row>
    <x:row r="704">
      <x:c r="D704" s="100" t="str">
        <x:f>IF(AND(A704="",B704=""),"",IF(A704="","CLIENT REQUIRED",IF(B704="","SERVICE REQUIRED",IF(COUNTIF(Clients!$A$5:$A$404,A704)=0,"CLIENT NOT FOUND",IF(COUNTIF(Services!$A$5:$A$104,B704)=0,"SERVICE NOT IN SERVICES","OK")))))</x:f>
      </x:c>
    </x:row>
    <x:row r="705">
      <x:c r="D705" s="100" t="str">
        <x:f>IF(AND(A705="",B705=""),"",IF(A705="","CLIENT REQUIRED",IF(B705="","SERVICE REQUIRED",IF(COUNTIF(Clients!$A$5:$A$404,A705)=0,"CLIENT NOT FOUND",IF(COUNTIF(Services!$A$5:$A$104,B705)=0,"SERVICE NOT IN SERVICES","OK")))))</x:f>
      </x:c>
    </x:row>
    <x:row r="706">
      <x:c r="D706" s="100" t="str">
        <x:f>IF(AND(A706="",B706=""),"",IF(A706="","CLIENT REQUIRED",IF(B706="","SERVICE REQUIRED",IF(COUNTIF(Clients!$A$5:$A$404,A706)=0,"CLIENT NOT FOUND",IF(COUNTIF(Services!$A$5:$A$104,B706)=0,"SERVICE NOT IN SERVICES","OK")))))</x:f>
      </x:c>
    </x:row>
    <x:row r="707">
      <x:c r="D707" s="100" t="str">
        <x:f>IF(AND(A707="",B707=""),"",IF(A707="","CLIENT REQUIRED",IF(B707="","SERVICE REQUIRED",IF(COUNTIF(Clients!$A$5:$A$404,A707)=0,"CLIENT NOT FOUND",IF(COUNTIF(Services!$A$5:$A$104,B707)=0,"SERVICE NOT IN SERVICES","OK")))))</x:f>
      </x:c>
    </x:row>
    <x:row r="708">
      <x:c r="D708" s="100" t="str">
        <x:f>IF(AND(A708="",B708=""),"",IF(A708="","CLIENT REQUIRED",IF(B708="","SERVICE REQUIRED",IF(COUNTIF(Clients!$A$5:$A$404,A708)=0,"CLIENT NOT FOUND",IF(COUNTIF(Services!$A$5:$A$104,B708)=0,"SERVICE NOT IN SERVICES","OK")))))</x:f>
      </x:c>
    </x:row>
    <x:row r="709">
      <x:c r="D709" s="100" t="str">
        <x:f>IF(AND(A709="",B709=""),"",IF(A709="","CLIENT REQUIRED",IF(B709="","SERVICE REQUIRED",IF(COUNTIF(Clients!$A$5:$A$404,A709)=0,"CLIENT NOT FOUND",IF(COUNTIF(Services!$A$5:$A$104,B709)=0,"SERVICE NOT IN SERVICES","OK")))))</x:f>
      </x:c>
    </x:row>
    <x:row r="710">
      <x:c r="D710" s="100" t="str">
        <x:f>IF(AND(A710="",B710=""),"",IF(A710="","CLIENT REQUIRED",IF(B710="","SERVICE REQUIRED",IF(COUNTIF(Clients!$A$5:$A$404,A710)=0,"CLIENT NOT FOUND",IF(COUNTIF(Services!$A$5:$A$104,B710)=0,"SERVICE NOT IN SERVICES","OK")))))</x:f>
      </x:c>
    </x:row>
    <x:row r="711">
      <x:c r="D711" s="100" t="str">
        <x:f>IF(AND(A711="",B711=""),"",IF(A711="","CLIENT REQUIRED",IF(B711="","SERVICE REQUIRED",IF(COUNTIF(Clients!$A$5:$A$404,A711)=0,"CLIENT NOT FOUND",IF(COUNTIF(Services!$A$5:$A$104,B711)=0,"SERVICE NOT IN SERVICES","OK")))))</x:f>
      </x:c>
    </x:row>
    <x:row r="712">
      <x:c r="D712" s="100" t="str">
        <x:f>IF(AND(A712="",B712=""),"",IF(A712="","CLIENT REQUIRED",IF(B712="","SERVICE REQUIRED",IF(COUNTIF(Clients!$A$5:$A$404,A712)=0,"CLIENT NOT FOUND",IF(COUNTIF(Services!$A$5:$A$104,B712)=0,"SERVICE NOT IN SERVICES","OK")))))</x:f>
      </x:c>
    </x:row>
    <x:row r="713">
      <x:c r="D713" s="100" t="str">
        <x:f>IF(AND(A713="",B713=""),"",IF(A713="","CLIENT REQUIRED",IF(B713="","SERVICE REQUIRED",IF(COUNTIF(Clients!$A$5:$A$404,A713)=0,"CLIENT NOT FOUND",IF(COUNTIF(Services!$A$5:$A$104,B713)=0,"SERVICE NOT IN SERVICES","OK")))))</x:f>
      </x:c>
    </x:row>
    <x:row r="714">
      <x:c r="D714" s="100" t="str">
        <x:f>IF(AND(A714="",B714=""),"",IF(A714="","CLIENT REQUIRED",IF(B714="","SERVICE REQUIRED",IF(COUNTIF(Clients!$A$5:$A$404,A714)=0,"CLIENT NOT FOUND",IF(COUNTIF(Services!$A$5:$A$104,B714)=0,"SERVICE NOT IN SERVICES","OK")))))</x:f>
      </x:c>
    </x:row>
    <x:row r="715">
      <x:c r="D715" s="100" t="str">
        <x:f>IF(AND(A715="",B715=""),"",IF(A715="","CLIENT REQUIRED",IF(B715="","SERVICE REQUIRED",IF(COUNTIF(Clients!$A$5:$A$404,A715)=0,"CLIENT NOT FOUND",IF(COUNTIF(Services!$A$5:$A$104,B715)=0,"SERVICE NOT IN SERVICES","OK")))))</x:f>
      </x:c>
    </x:row>
    <x:row r="716">
      <x:c r="D716" s="100" t="str">
        <x:f>IF(AND(A716="",B716=""),"",IF(A716="","CLIENT REQUIRED",IF(B716="","SERVICE REQUIRED",IF(COUNTIF(Clients!$A$5:$A$404,A716)=0,"CLIENT NOT FOUND",IF(COUNTIF(Services!$A$5:$A$104,B716)=0,"SERVICE NOT IN SERVICES","OK")))))</x:f>
      </x:c>
    </x:row>
    <x:row r="717">
      <x:c r="D717" s="100" t="str">
        <x:f>IF(AND(A717="",B717=""),"",IF(A717="","CLIENT REQUIRED",IF(B717="","SERVICE REQUIRED",IF(COUNTIF(Clients!$A$5:$A$404,A717)=0,"CLIENT NOT FOUND",IF(COUNTIF(Services!$A$5:$A$104,B717)=0,"SERVICE NOT IN SERVICES","OK")))))</x:f>
      </x:c>
    </x:row>
    <x:row r="718">
      <x:c r="D718" s="100" t="str">
        <x:f>IF(AND(A718="",B718=""),"",IF(A718="","CLIENT REQUIRED",IF(B718="","SERVICE REQUIRED",IF(COUNTIF(Clients!$A$5:$A$404,A718)=0,"CLIENT NOT FOUND",IF(COUNTIF(Services!$A$5:$A$104,B718)=0,"SERVICE NOT IN SERVICES","OK")))))</x:f>
      </x:c>
    </x:row>
    <x:row r="719">
      <x:c r="D719" s="100" t="str">
        <x:f>IF(AND(A719="",B719=""),"",IF(A719="","CLIENT REQUIRED",IF(B719="","SERVICE REQUIRED",IF(COUNTIF(Clients!$A$5:$A$404,A719)=0,"CLIENT NOT FOUND",IF(COUNTIF(Services!$A$5:$A$104,B719)=0,"SERVICE NOT IN SERVICES","OK")))))</x:f>
      </x:c>
    </x:row>
    <x:row r="720">
      <x:c r="D720" s="100" t="str">
        <x:f>IF(AND(A720="",B720=""),"",IF(A720="","CLIENT REQUIRED",IF(B720="","SERVICE REQUIRED",IF(COUNTIF(Clients!$A$5:$A$404,A720)=0,"CLIENT NOT FOUND",IF(COUNTIF(Services!$A$5:$A$104,B720)=0,"SERVICE NOT IN SERVICES","OK")))))</x:f>
      </x:c>
    </x:row>
    <x:row r="721">
      <x:c r="D721" s="100" t="str">
        <x:f>IF(AND(A721="",B721=""),"",IF(A721="","CLIENT REQUIRED",IF(B721="","SERVICE REQUIRED",IF(COUNTIF(Clients!$A$5:$A$404,A721)=0,"CLIENT NOT FOUND",IF(COUNTIF(Services!$A$5:$A$104,B721)=0,"SERVICE NOT IN SERVICES","OK")))))</x:f>
      </x:c>
    </x:row>
    <x:row r="722">
      <x:c r="D722" s="100" t="str">
        <x:f>IF(AND(A722="",B722=""),"",IF(A722="","CLIENT REQUIRED",IF(B722="","SERVICE REQUIRED",IF(COUNTIF(Clients!$A$5:$A$404,A722)=0,"CLIENT NOT FOUND",IF(COUNTIF(Services!$A$5:$A$104,B722)=0,"SERVICE NOT IN SERVICES","OK")))))</x:f>
      </x:c>
    </x:row>
    <x:row r="723">
      <x:c r="D723" s="100" t="str">
        <x:f>IF(AND(A723="",B723=""),"",IF(A723="","CLIENT REQUIRED",IF(B723="","SERVICE REQUIRED",IF(COUNTIF(Clients!$A$5:$A$404,A723)=0,"CLIENT NOT FOUND",IF(COUNTIF(Services!$A$5:$A$104,B723)=0,"SERVICE NOT IN SERVICES","OK")))))</x:f>
      </x:c>
    </x:row>
    <x:row r="724">
      <x:c r="D724" s="100" t="str">
        <x:f>IF(AND(A724="",B724=""),"",IF(A724="","CLIENT REQUIRED",IF(B724="","SERVICE REQUIRED",IF(COUNTIF(Clients!$A$5:$A$404,A724)=0,"CLIENT NOT FOUND",IF(COUNTIF(Services!$A$5:$A$104,B724)=0,"SERVICE NOT IN SERVICES","OK")))))</x:f>
      </x:c>
    </x:row>
    <x:row r="725">
      <x:c r="D725" s="100" t="str">
        <x:f>IF(AND(A725="",B725=""),"",IF(A725="","CLIENT REQUIRED",IF(B725="","SERVICE REQUIRED",IF(COUNTIF(Clients!$A$5:$A$404,A725)=0,"CLIENT NOT FOUND",IF(COUNTIF(Services!$A$5:$A$104,B725)=0,"SERVICE NOT IN SERVICES","OK")))))</x:f>
      </x:c>
    </x:row>
    <x:row r="726">
      <x:c r="D726" s="100" t="str">
        <x:f>IF(AND(A726="",B726=""),"",IF(A726="","CLIENT REQUIRED",IF(B726="","SERVICE REQUIRED",IF(COUNTIF(Clients!$A$5:$A$404,A726)=0,"CLIENT NOT FOUND",IF(COUNTIF(Services!$A$5:$A$104,B726)=0,"SERVICE NOT IN SERVICES","OK")))))</x:f>
      </x:c>
    </x:row>
    <x:row r="727">
      <x:c r="D727" s="100" t="str">
        <x:f>IF(AND(A727="",B727=""),"",IF(A727="","CLIENT REQUIRED",IF(B727="","SERVICE REQUIRED",IF(COUNTIF(Clients!$A$5:$A$404,A727)=0,"CLIENT NOT FOUND",IF(COUNTIF(Services!$A$5:$A$104,B727)=0,"SERVICE NOT IN SERVICES","OK")))))</x:f>
      </x:c>
    </x:row>
    <x:row r="728">
      <x:c r="D728" s="100" t="str">
        <x:f>IF(AND(A728="",B728=""),"",IF(A728="","CLIENT REQUIRED",IF(B728="","SERVICE REQUIRED",IF(COUNTIF(Clients!$A$5:$A$404,A728)=0,"CLIENT NOT FOUND",IF(COUNTIF(Services!$A$5:$A$104,B728)=0,"SERVICE NOT IN SERVICES","OK")))))</x:f>
      </x:c>
    </x:row>
    <x:row r="729">
      <x:c r="D729" s="100" t="str">
        <x:f>IF(AND(A729="",B729=""),"",IF(A729="","CLIENT REQUIRED",IF(B729="","SERVICE REQUIRED",IF(COUNTIF(Clients!$A$5:$A$404,A729)=0,"CLIENT NOT FOUND",IF(COUNTIF(Services!$A$5:$A$104,B729)=0,"SERVICE NOT IN SERVICES","OK")))))</x:f>
      </x:c>
    </x:row>
    <x:row r="730">
      <x:c r="D730" s="100" t="str">
        <x:f>IF(AND(A730="",B730=""),"",IF(A730="","CLIENT REQUIRED",IF(B730="","SERVICE REQUIRED",IF(COUNTIF(Clients!$A$5:$A$404,A730)=0,"CLIENT NOT FOUND",IF(COUNTIF(Services!$A$5:$A$104,B730)=0,"SERVICE NOT IN SERVICES","OK")))))</x:f>
      </x:c>
    </x:row>
    <x:row r="731">
      <x:c r="D731" s="100" t="str">
        <x:f>IF(AND(A731="",B731=""),"",IF(A731="","CLIENT REQUIRED",IF(B731="","SERVICE REQUIRED",IF(COUNTIF(Clients!$A$5:$A$404,A731)=0,"CLIENT NOT FOUND",IF(COUNTIF(Services!$A$5:$A$104,B731)=0,"SERVICE NOT IN SERVICES","OK")))))</x:f>
      </x:c>
    </x:row>
    <x:row r="732">
      <x:c r="D732" s="100" t="str">
        <x:f>IF(AND(A732="",B732=""),"",IF(A732="","CLIENT REQUIRED",IF(B732="","SERVICE REQUIRED",IF(COUNTIF(Clients!$A$5:$A$404,A732)=0,"CLIENT NOT FOUND",IF(COUNTIF(Services!$A$5:$A$104,B732)=0,"SERVICE NOT IN SERVICES","OK")))))</x:f>
      </x:c>
    </x:row>
    <x:row r="733">
      <x:c r="D733" s="100" t="str">
        <x:f>IF(AND(A733="",B733=""),"",IF(A733="","CLIENT REQUIRED",IF(B733="","SERVICE REQUIRED",IF(COUNTIF(Clients!$A$5:$A$404,A733)=0,"CLIENT NOT FOUND",IF(COUNTIF(Services!$A$5:$A$104,B733)=0,"SERVICE NOT IN SERVICES","OK")))))</x:f>
      </x:c>
    </x:row>
    <x:row r="734">
      <x:c r="D734" s="100" t="str">
        <x:f>IF(AND(A734="",B734=""),"",IF(A734="","CLIENT REQUIRED",IF(B734="","SERVICE REQUIRED",IF(COUNTIF(Clients!$A$5:$A$404,A734)=0,"CLIENT NOT FOUND",IF(COUNTIF(Services!$A$5:$A$104,B734)=0,"SERVICE NOT IN SERVICES","OK")))))</x:f>
      </x:c>
    </x:row>
    <x:row r="735">
      <x:c r="D735" s="100" t="str">
        <x:f>IF(AND(A735="",B735=""),"",IF(A735="","CLIENT REQUIRED",IF(B735="","SERVICE REQUIRED",IF(COUNTIF(Clients!$A$5:$A$404,A735)=0,"CLIENT NOT FOUND",IF(COUNTIF(Services!$A$5:$A$104,B735)=0,"SERVICE NOT IN SERVICES","OK")))))</x:f>
      </x:c>
    </x:row>
    <x:row r="736">
      <x:c r="D736" s="100" t="str">
        <x:f>IF(AND(A736="",B736=""),"",IF(A736="","CLIENT REQUIRED",IF(B736="","SERVICE REQUIRED",IF(COUNTIF(Clients!$A$5:$A$404,A736)=0,"CLIENT NOT FOUND",IF(COUNTIF(Services!$A$5:$A$104,B736)=0,"SERVICE NOT IN SERVICES","OK")))))</x:f>
      </x:c>
    </x:row>
    <x:row r="737">
      <x:c r="D737" s="100" t="str">
        <x:f>IF(AND(A737="",B737=""),"",IF(A737="","CLIENT REQUIRED",IF(B737="","SERVICE REQUIRED",IF(COUNTIF(Clients!$A$5:$A$404,A737)=0,"CLIENT NOT FOUND",IF(COUNTIF(Services!$A$5:$A$104,B737)=0,"SERVICE NOT IN SERVICES","OK")))))</x:f>
      </x:c>
    </x:row>
    <x:row r="738">
      <x:c r="D738" s="100" t="str">
        <x:f>IF(AND(A738="",B738=""),"",IF(A738="","CLIENT REQUIRED",IF(B738="","SERVICE REQUIRED",IF(COUNTIF(Clients!$A$5:$A$404,A738)=0,"CLIENT NOT FOUND",IF(COUNTIF(Services!$A$5:$A$104,B738)=0,"SERVICE NOT IN SERVICES","OK")))))</x:f>
      </x:c>
    </x:row>
    <x:row r="739">
      <x:c r="D739" s="100" t="str">
        <x:f>IF(AND(A739="",B739=""),"",IF(A739="","CLIENT REQUIRED",IF(B739="","SERVICE REQUIRED",IF(COUNTIF(Clients!$A$5:$A$404,A739)=0,"CLIENT NOT FOUND",IF(COUNTIF(Services!$A$5:$A$104,B739)=0,"SERVICE NOT IN SERVICES","OK")))))</x:f>
      </x:c>
    </x:row>
    <x:row r="740">
      <x:c r="D740" s="100" t="str">
        <x:f>IF(AND(A740="",B740=""),"",IF(A740="","CLIENT REQUIRED",IF(B740="","SERVICE REQUIRED",IF(COUNTIF(Clients!$A$5:$A$404,A740)=0,"CLIENT NOT FOUND",IF(COUNTIF(Services!$A$5:$A$104,B740)=0,"SERVICE NOT IN SERVICES","OK")))))</x:f>
      </x:c>
    </x:row>
    <x:row r="741">
      <x:c r="D741" s="100" t="str">
        <x:f>IF(AND(A741="",B741=""),"",IF(A741="","CLIENT REQUIRED",IF(B741="","SERVICE REQUIRED",IF(COUNTIF(Clients!$A$5:$A$404,A741)=0,"CLIENT NOT FOUND",IF(COUNTIF(Services!$A$5:$A$104,B741)=0,"SERVICE NOT IN SERVICES","OK")))))</x:f>
      </x:c>
    </x:row>
    <x:row r="742">
      <x:c r="D742" s="100" t="str">
        <x:f>IF(AND(A742="",B742=""),"",IF(A742="","CLIENT REQUIRED",IF(B742="","SERVICE REQUIRED",IF(COUNTIF(Clients!$A$5:$A$404,A742)=0,"CLIENT NOT FOUND",IF(COUNTIF(Services!$A$5:$A$104,B742)=0,"SERVICE NOT IN SERVICES","OK")))))</x:f>
      </x:c>
    </x:row>
    <x:row r="743">
      <x:c r="D743" s="100" t="str">
        <x:f>IF(AND(A743="",B743=""),"",IF(A743="","CLIENT REQUIRED",IF(B743="","SERVICE REQUIRED",IF(COUNTIF(Clients!$A$5:$A$404,A743)=0,"CLIENT NOT FOUND",IF(COUNTIF(Services!$A$5:$A$104,B743)=0,"SERVICE NOT IN SERVICES","OK")))))</x:f>
      </x:c>
    </x:row>
    <x:row r="744">
      <x:c r="D744" s="100" t="str">
        <x:f>IF(AND(A744="",B744=""),"",IF(A744="","CLIENT REQUIRED",IF(B744="","SERVICE REQUIRED",IF(COUNTIF(Clients!$A$5:$A$404,A744)=0,"CLIENT NOT FOUND",IF(COUNTIF(Services!$A$5:$A$104,B744)=0,"SERVICE NOT IN SERVICES","OK")))))</x:f>
      </x:c>
    </x:row>
    <x:row r="745">
      <x:c r="D745" s="100" t="str">
        <x:f>IF(AND(A745="",B745=""),"",IF(A745="","CLIENT REQUIRED",IF(B745="","SERVICE REQUIRED",IF(COUNTIF(Clients!$A$5:$A$404,A745)=0,"CLIENT NOT FOUND",IF(COUNTIF(Services!$A$5:$A$104,B745)=0,"SERVICE NOT IN SERVICES","OK")))))</x:f>
      </x:c>
    </x:row>
    <x:row r="746">
      <x:c r="D746" s="100" t="str">
        <x:f>IF(AND(A746="",B746=""),"",IF(A746="","CLIENT REQUIRED",IF(B746="","SERVICE REQUIRED",IF(COUNTIF(Clients!$A$5:$A$404,A746)=0,"CLIENT NOT FOUND",IF(COUNTIF(Services!$A$5:$A$104,B746)=0,"SERVICE NOT IN SERVICES","OK")))))</x:f>
      </x:c>
    </x:row>
    <x:row r="747">
      <x:c r="D747" s="100" t="str">
        <x:f>IF(AND(A747="",B747=""),"",IF(A747="","CLIENT REQUIRED",IF(B747="","SERVICE REQUIRED",IF(COUNTIF(Clients!$A$5:$A$404,A747)=0,"CLIENT NOT FOUND",IF(COUNTIF(Services!$A$5:$A$104,B747)=0,"SERVICE NOT IN SERVICES","OK")))))</x:f>
      </x:c>
    </x:row>
    <x:row r="748">
      <x:c r="D748" s="100" t="str">
        <x:f>IF(AND(A748="",B748=""),"",IF(A748="","CLIENT REQUIRED",IF(B748="","SERVICE REQUIRED",IF(COUNTIF(Clients!$A$5:$A$404,A748)=0,"CLIENT NOT FOUND",IF(COUNTIF(Services!$A$5:$A$104,B748)=0,"SERVICE NOT IN SERVICES","OK")))))</x:f>
      </x:c>
    </x:row>
    <x:row r="749">
      <x:c r="D749" s="100" t="str">
        <x:f>IF(AND(A749="",B749=""),"",IF(A749="","CLIENT REQUIRED",IF(B749="","SERVICE REQUIRED",IF(COUNTIF(Clients!$A$5:$A$404,A749)=0,"CLIENT NOT FOUND",IF(COUNTIF(Services!$A$5:$A$104,B749)=0,"SERVICE NOT IN SERVICES","OK")))))</x:f>
      </x:c>
    </x:row>
    <x:row r="750">
      <x:c r="D750" s="100" t="str">
        <x:f>IF(AND(A750="",B750=""),"",IF(A750="","CLIENT REQUIRED",IF(B750="","SERVICE REQUIRED",IF(COUNTIF(Clients!$A$5:$A$404,A750)=0,"CLIENT NOT FOUND",IF(COUNTIF(Services!$A$5:$A$104,B750)=0,"SERVICE NOT IN SERVICES","OK")))))</x:f>
      </x:c>
    </x:row>
    <x:row r="751">
      <x:c r="D751" s="100" t="str">
        <x:f>IF(AND(A751="",B751=""),"",IF(A751="","CLIENT REQUIRED",IF(B751="","SERVICE REQUIRED",IF(COUNTIF(Clients!$A$5:$A$404,A751)=0,"CLIENT NOT FOUND",IF(COUNTIF(Services!$A$5:$A$104,B751)=0,"SERVICE NOT IN SERVICES","OK")))))</x:f>
      </x:c>
    </x:row>
    <x:row r="752">
      <x:c r="D752" s="100" t="str">
        <x:f>IF(AND(A752="",B752=""),"",IF(A752="","CLIENT REQUIRED",IF(B752="","SERVICE REQUIRED",IF(COUNTIF(Clients!$A$5:$A$404,A752)=0,"CLIENT NOT FOUND",IF(COUNTIF(Services!$A$5:$A$104,B752)=0,"SERVICE NOT IN SERVICES","OK")))))</x:f>
      </x:c>
    </x:row>
    <x:row r="753">
      <x:c r="D753" s="100" t="str">
        <x:f>IF(AND(A753="",B753=""),"",IF(A753="","CLIENT REQUIRED",IF(B753="","SERVICE REQUIRED",IF(COUNTIF(Clients!$A$5:$A$404,A753)=0,"CLIENT NOT FOUND",IF(COUNTIF(Services!$A$5:$A$104,B753)=0,"SERVICE NOT IN SERVICES","OK")))))</x:f>
      </x:c>
    </x:row>
    <x:row r="754">
      <x:c r="D754" s="100" t="str">
        <x:f>IF(AND(A754="",B754=""),"",IF(A754="","CLIENT REQUIRED",IF(B754="","SERVICE REQUIRED",IF(COUNTIF(Clients!$A$5:$A$404,A754)=0,"CLIENT NOT FOUND",IF(COUNTIF(Services!$A$5:$A$104,B754)=0,"SERVICE NOT IN SERVICES","OK")))))</x:f>
      </x:c>
    </x:row>
    <x:row r="755">
      <x:c r="D755" s="100" t="str">
        <x:f>IF(AND(A755="",B755=""),"",IF(A755="","CLIENT REQUIRED",IF(B755="","SERVICE REQUIRED",IF(COUNTIF(Clients!$A$5:$A$404,A755)=0,"CLIENT NOT FOUND",IF(COUNTIF(Services!$A$5:$A$104,B755)=0,"SERVICE NOT IN SERVICES","OK")))))</x:f>
      </x:c>
    </x:row>
    <x:row r="756">
      <x:c r="D756" s="100" t="str">
        <x:f>IF(AND(A756="",B756=""),"",IF(A756="","CLIENT REQUIRED",IF(B756="","SERVICE REQUIRED",IF(COUNTIF(Clients!$A$5:$A$404,A756)=0,"CLIENT NOT FOUND",IF(COUNTIF(Services!$A$5:$A$104,B756)=0,"SERVICE NOT IN SERVICES","OK")))))</x:f>
      </x:c>
    </x:row>
    <x:row r="757">
      <x:c r="D757" s="100" t="str">
        <x:f>IF(AND(A757="",B757=""),"",IF(A757="","CLIENT REQUIRED",IF(B757="","SERVICE REQUIRED",IF(COUNTIF(Clients!$A$5:$A$404,A757)=0,"CLIENT NOT FOUND",IF(COUNTIF(Services!$A$5:$A$104,B757)=0,"SERVICE NOT IN SERVICES","OK")))))</x:f>
      </x:c>
    </x:row>
    <x:row r="758">
      <x:c r="D758" s="100" t="str">
        <x:f>IF(AND(A758="",B758=""),"",IF(A758="","CLIENT REQUIRED",IF(B758="","SERVICE REQUIRED",IF(COUNTIF(Clients!$A$5:$A$404,A758)=0,"CLIENT NOT FOUND",IF(COUNTIF(Services!$A$5:$A$104,B758)=0,"SERVICE NOT IN SERVICES","OK")))))</x:f>
      </x:c>
    </x:row>
    <x:row r="759">
      <x:c r="D759" s="100" t="str">
        <x:f>IF(AND(A759="",B759=""),"",IF(A759="","CLIENT REQUIRED",IF(B759="","SERVICE REQUIRED",IF(COUNTIF(Clients!$A$5:$A$404,A759)=0,"CLIENT NOT FOUND",IF(COUNTIF(Services!$A$5:$A$104,B759)=0,"SERVICE NOT IN SERVICES","OK")))))</x:f>
      </x:c>
    </x:row>
    <x:row r="760">
      <x:c r="D760" s="100" t="str">
        <x:f>IF(AND(A760="",B760=""),"",IF(A760="","CLIENT REQUIRED",IF(B760="","SERVICE REQUIRED",IF(COUNTIF(Clients!$A$5:$A$404,A760)=0,"CLIENT NOT FOUND",IF(COUNTIF(Services!$A$5:$A$104,B760)=0,"SERVICE NOT IN SERVICES","OK")))))</x:f>
      </x:c>
    </x:row>
    <x:row r="761">
      <x:c r="D761" s="100" t="str">
        <x:f>IF(AND(A761="",B761=""),"",IF(A761="","CLIENT REQUIRED",IF(B761="","SERVICE REQUIRED",IF(COUNTIF(Clients!$A$5:$A$404,A761)=0,"CLIENT NOT FOUND",IF(COUNTIF(Services!$A$5:$A$104,B761)=0,"SERVICE NOT IN SERVICES","OK")))))</x:f>
      </x:c>
    </x:row>
    <x:row r="762">
      <x:c r="D762" s="100" t="str">
        <x:f>IF(AND(A762="",B762=""),"",IF(A762="","CLIENT REQUIRED",IF(B762="","SERVICE REQUIRED",IF(COUNTIF(Clients!$A$5:$A$404,A762)=0,"CLIENT NOT FOUND",IF(COUNTIF(Services!$A$5:$A$104,B762)=0,"SERVICE NOT IN SERVICES","OK")))))</x:f>
      </x:c>
    </x:row>
    <x:row r="763">
      <x:c r="D763" s="100" t="str">
        <x:f>IF(AND(A763="",B763=""),"",IF(A763="","CLIENT REQUIRED",IF(B763="","SERVICE REQUIRED",IF(COUNTIF(Clients!$A$5:$A$404,A763)=0,"CLIENT NOT FOUND",IF(COUNTIF(Services!$A$5:$A$104,B763)=0,"SERVICE NOT IN SERVICES","OK")))))</x:f>
      </x:c>
    </x:row>
    <x:row r="764">
      <x:c r="D764" s="100" t="str">
        <x:f>IF(AND(A764="",B764=""),"",IF(A764="","CLIENT REQUIRED",IF(B764="","SERVICE REQUIRED",IF(COUNTIF(Clients!$A$5:$A$404,A764)=0,"CLIENT NOT FOUND",IF(COUNTIF(Services!$A$5:$A$104,B764)=0,"SERVICE NOT IN SERVICES","OK")))))</x:f>
      </x:c>
    </x:row>
    <x:row r="765">
      <x:c r="D765" s="100" t="str">
        <x:f>IF(AND(A765="",B765=""),"",IF(A765="","CLIENT REQUIRED",IF(B765="","SERVICE REQUIRED",IF(COUNTIF(Clients!$A$5:$A$404,A765)=0,"CLIENT NOT FOUND",IF(COUNTIF(Services!$A$5:$A$104,B765)=0,"SERVICE NOT IN SERVICES","OK")))))</x:f>
      </x:c>
    </x:row>
    <x:row r="766">
      <x:c r="D766" s="100" t="str">
        <x:f>IF(AND(A766="",B766=""),"",IF(A766="","CLIENT REQUIRED",IF(B766="","SERVICE REQUIRED",IF(COUNTIF(Clients!$A$5:$A$404,A766)=0,"CLIENT NOT FOUND",IF(COUNTIF(Services!$A$5:$A$104,B766)=0,"SERVICE NOT IN SERVICES","OK")))))</x:f>
      </x:c>
    </x:row>
    <x:row r="767">
      <x:c r="D767" s="100" t="str">
        <x:f>IF(AND(A767="",B767=""),"",IF(A767="","CLIENT REQUIRED",IF(B767="","SERVICE REQUIRED",IF(COUNTIF(Clients!$A$5:$A$404,A767)=0,"CLIENT NOT FOUND",IF(COUNTIF(Services!$A$5:$A$104,B767)=0,"SERVICE NOT IN SERVICES","OK")))))</x:f>
      </x:c>
    </x:row>
    <x:row r="768">
      <x:c r="D768" s="100" t="str">
        <x:f>IF(AND(A768="",B768=""),"",IF(A768="","CLIENT REQUIRED",IF(B768="","SERVICE REQUIRED",IF(COUNTIF(Clients!$A$5:$A$404,A768)=0,"CLIENT NOT FOUND",IF(COUNTIF(Services!$A$5:$A$104,B768)=0,"SERVICE NOT IN SERVICES","OK")))))</x:f>
      </x:c>
    </x:row>
    <x:row r="769">
      <x:c r="D769" s="100" t="str">
        <x:f>IF(AND(A769="",B769=""),"",IF(A769="","CLIENT REQUIRED",IF(B769="","SERVICE REQUIRED",IF(COUNTIF(Clients!$A$5:$A$404,A769)=0,"CLIENT NOT FOUND",IF(COUNTIF(Services!$A$5:$A$104,B769)=0,"SERVICE NOT IN SERVICES","OK")))))</x:f>
      </x:c>
    </x:row>
    <x:row r="770">
      <x:c r="D770" s="100" t="str">
        <x:f>IF(AND(A770="",B770=""),"",IF(A770="","CLIENT REQUIRED",IF(B770="","SERVICE REQUIRED",IF(COUNTIF(Clients!$A$5:$A$404,A770)=0,"CLIENT NOT FOUND",IF(COUNTIF(Services!$A$5:$A$104,B770)=0,"SERVICE NOT IN SERVICES","OK")))))</x:f>
      </x:c>
    </x:row>
    <x:row r="771">
      <x:c r="D771" s="100" t="str">
        <x:f>IF(AND(A771="",B771=""),"",IF(A771="","CLIENT REQUIRED",IF(B771="","SERVICE REQUIRED",IF(COUNTIF(Clients!$A$5:$A$404,A771)=0,"CLIENT NOT FOUND",IF(COUNTIF(Services!$A$5:$A$104,B771)=0,"SERVICE NOT IN SERVICES","OK")))))</x:f>
      </x:c>
    </x:row>
    <x:row r="772">
      <x:c r="D772" s="100" t="str">
        <x:f>IF(AND(A772="",B772=""),"",IF(A772="","CLIENT REQUIRED",IF(B772="","SERVICE REQUIRED",IF(COUNTIF(Clients!$A$5:$A$404,A772)=0,"CLIENT NOT FOUND",IF(COUNTIF(Services!$A$5:$A$104,B772)=0,"SERVICE NOT IN SERVICES","OK")))))</x:f>
      </x:c>
    </x:row>
    <x:row r="773">
      <x:c r="D773" s="100" t="str">
        <x:f>IF(AND(A773="",B773=""),"",IF(A773="","CLIENT REQUIRED",IF(B773="","SERVICE REQUIRED",IF(COUNTIF(Clients!$A$5:$A$404,A773)=0,"CLIENT NOT FOUND",IF(COUNTIF(Services!$A$5:$A$104,B773)=0,"SERVICE NOT IN SERVICES","OK")))))</x:f>
      </x:c>
    </x:row>
    <x:row r="774">
      <x:c r="D774" s="100" t="str">
        <x:f>IF(AND(A774="",B774=""),"",IF(A774="","CLIENT REQUIRED",IF(B774="","SERVICE REQUIRED",IF(COUNTIF(Clients!$A$5:$A$404,A774)=0,"CLIENT NOT FOUND",IF(COUNTIF(Services!$A$5:$A$104,B774)=0,"SERVICE NOT IN SERVICES","OK")))))</x:f>
      </x:c>
    </x:row>
    <x:row r="775">
      <x:c r="D775" s="100" t="str">
        <x:f>IF(AND(A775="",B775=""),"",IF(A775="","CLIENT REQUIRED",IF(B775="","SERVICE REQUIRED",IF(COUNTIF(Clients!$A$5:$A$404,A775)=0,"CLIENT NOT FOUND",IF(COUNTIF(Services!$A$5:$A$104,B775)=0,"SERVICE NOT IN SERVICES","OK")))))</x:f>
      </x:c>
    </x:row>
    <x:row r="776">
      <x:c r="D776" s="100" t="str">
        <x:f>IF(AND(A776="",B776=""),"",IF(A776="","CLIENT REQUIRED",IF(B776="","SERVICE REQUIRED",IF(COUNTIF(Clients!$A$5:$A$404,A776)=0,"CLIENT NOT FOUND",IF(COUNTIF(Services!$A$5:$A$104,B776)=0,"SERVICE NOT IN SERVICES","OK")))))</x:f>
      </x:c>
    </x:row>
    <x:row r="777">
      <x:c r="D777" s="100" t="str">
        <x:f>IF(AND(A777="",B777=""),"",IF(A777="","CLIENT REQUIRED",IF(B777="","SERVICE REQUIRED",IF(COUNTIF(Clients!$A$5:$A$404,A777)=0,"CLIENT NOT FOUND",IF(COUNTIF(Services!$A$5:$A$104,B777)=0,"SERVICE NOT IN SERVICES","OK")))))</x:f>
      </x:c>
    </x:row>
    <x:row r="778">
      <x:c r="D778" s="100" t="str">
        <x:f>IF(AND(A778="",B778=""),"",IF(A778="","CLIENT REQUIRED",IF(B778="","SERVICE REQUIRED",IF(COUNTIF(Clients!$A$5:$A$404,A778)=0,"CLIENT NOT FOUND",IF(COUNTIF(Services!$A$5:$A$104,B778)=0,"SERVICE NOT IN SERVICES","OK")))))</x:f>
      </x:c>
    </x:row>
    <x:row r="779">
      <x:c r="D779" s="100" t="str">
        <x:f>IF(AND(A779="",B779=""),"",IF(A779="","CLIENT REQUIRED",IF(B779="","SERVICE REQUIRED",IF(COUNTIF(Clients!$A$5:$A$404,A779)=0,"CLIENT NOT FOUND",IF(COUNTIF(Services!$A$5:$A$104,B779)=0,"SERVICE NOT IN SERVICES","OK")))))</x:f>
      </x:c>
    </x:row>
    <x:row r="780">
      <x:c r="D780" s="100" t="str">
        <x:f>IF(AND(A780="",B780=""),"",IF(A780="","CLIENT REQUIRED",IF(B780="","SERVICE REQUIRED",IF(COUNTIF(Clients!$A$5:$A$404,A780)=0,"CLIENT NOT FOUND",IF(COUNTIF(Services!$A$5:$A$104,B780)=0,"SERVICE NOT IN SERVICES","OK")))))</x:f>
      </x:c>
    </x:row>
    <x:row r="781">
      <x:c r="D781" s="100" t="str">
        <x:f>IF(AND(A781="",B781=""),"",IF(A781="","CLIENT REQUIRED",IF(B781="","SERVICE REQUIRED",IF(COUNTIF(Clients!$A$5:$A$404,A781)=0,"CLIENT NOT FOUND",IF(COUNTIF(Services!$A$5:$A$104,B781)=0,"SERVICE NOT IN SERVICES","OK")))))</x:f>
      </x:c>
    </x:row>
    <x:row r="782">
      <x:c r="D782" s="100" t="str">
        <x:f>IF(AND(A782="",B782=""),"",IF(A782="","CLIENT REQUIRED",IF(B782="","SERVICE REQUIRED",IF(COUNTIF(Clients!$A$5:$A$404,A782)=0,"CLIENT NOT FOUND",IF(COUNTIF(Services!$A$5:$A$104,B782)=0,"SERVICE NOT IN SERVICES","OK")))))</x:f>
      </x:c>
    </x:row>
    <x:row r="783">
      <x:c r="D783" s="100" t="str">
        <x:f>IF(AND(A783="",B783=""),"",IF(A783="","CLIENT REQUIRED",IF(B783="","SERVICE REQUIRED",IF(COUNTIF(Clients!$A$5:$A$404,A783)=0,"CLIENT NOT FOUND",IF(COUNTIF(Services!$A$5:$A$104,B783)=0,"SERVICE NOT IN SERVICES","OK")))))</x:f>
      </x:c>
    </x:row>
    <x:row r="784">
      <x:c r="D784" s="100" t="str">
        <x:f>IF(AND(A784="",B784=""),"",IF(A784="","CLIENT REQUIRED",IF(B784="","SERVICE REQUIRED",IF(COUNTIF(Clients!$A$5:$A$404,A784)=0,"CLIENT NOT FOUND",IF(COUNTIF(Services!$A$5:$A$104,B784)=0,"SERVICE NOT IN SERVICES","OK")))))</x:f>
      </x:c>
    </x:row>
    <x:row r="785">
      <x:c r="D785" s="100" t="str">
        <x:f>IF(AND(A785="",B785=""),"",IF(A785="","CLIENT REQUIRED",IF(B785="","SERVICE REQUIRED",IF(COUNTIF(Clients!$A$5:$A$404,A785)=0,"CLIENT NOT FOUND",IF(COUNTIF(Services!$A$5:$A$104,B785)=0,"SERVICE NOT IN SERVICES","OK")))))</x:f>
      </x:c>
    </x:row>
    <x:row r="786">
      <x:c r="D786" s="100" t="str">
        <x:f>IF(AND(A786="",B786=""),"",IF(A786="","CLIENT REQUIRED",IF(B786="","SERVICE REQUIRED",IF(COUNTIF(Clients!$A$5:$A$404,A786)=0,"CLIENT NOT FOUND",IF(COUNTIF(Services!$A$5:$A$104,B786)=0,"SERVICE NOT IN SERVICES","OK")))))</x:f>
      </x:c>
    </x:row>
    <x:row r="787">
      <x:c r="D787" s="100" t="str">
        <x:f>IF(AND(A787="",B787=""),"",IF(A787="","CLIENT REQUIRED",IF(B787="","SERVICE REQUIRED",IF(COUNTIF(Clients!$A$5:$A$404,A787)=0,"CLIENT NOT FOUND",IF(COUNTIF(Services!$A$5:$A$104,B787)=0,"SERVICE NOT IN SERVICES","OK")))))</x:f>
      </x:c>
    </x:row>
    <x:row r="788">
      <x:c r="D788" s="100" t="str">
        <x:f>IF(AND(A788="",B788=""),"",IF(A788="","CLIENT REQUIRED",IF(B788="","SERVICE REQUIRED",IF(COUNTIF(Clients!$A$5:$A$404,A788)=0,"CLIENT NOT FOUND",IF(COUNTIF(Services!$A$5:$A$104,B788)=0,"SERVICE NOT IN SERVICES","OK")))))</x:f>
      </x:c>
    </x:row>
    <x:row r="789">
      <x:c r="D789" s="100" t="str">
        <x:f>IF(AND(A789="",B789=""),"",IF(A789="","CLIENT REQUIRED",IF(B789="","SERVICE REQUIRED",IF(COUNTIF(Clients!$A$5:$A$404,A789)=0,"CLIENT NOT FOUND",IF(COUNTIF(Services!$A$5:$A$104,B789)=0,"SERVICE NOT IN SERVICES","OK")))))</x:f>
      </x:c>
    </x:row>
    <x:row r="790">
      <x:c r="D790" s="100" t="str">
        <x:f>IF(AND(A790="",B790=""),"",IF(A790="","CLIENT REQUIRED",IF(B790="","SERVICE REQUIRED",IF(COUNTIF(Clients!$A$5:$A$404,A790)=0,"CLIENT NOT FOUND",IF(COUNTIF(Services!$A$5:$A$104,B790)=0,"SERVICE NOT IN SERVICES","OK")))))</x:f>
      </x:c>
    </x:row>
    <x:row r="791">
      <x:c r="D791" s="100" t="str">
        <x:f>IF(AND(A791="",B791=""),"",IF(A791="","CLIENT REQUIRED",IF(B791="","SERVICE REQUIRED",IF(COUNTIF(Clients!$A$5:$A$404,A791)=0,"CLIENT NOT FOUND",IF(COUNTIF(Services!$A$5:$A$104,B791)=0,"SERVICE NOT IN SERVICES","OK")))))</x:f>
      </x:c>
    </x:row>
    <x:row r="792">
      <x:c r="D792" s="100" t="str">
        <x:f>IF(AND(A792="",B792=""),"",IF(A792="","CLIENT REQUIRED",IF(B792="","SERVICE REQUIRED",IF(COUNTIF(Clients!$A$5:$A$404,A792)=0,"CLIENT NOT FOUND",IF(COUNTIF(Services!$A$5:$A$104,B792)=0,"SERVICE NOT IN SERVICES","OK")))))</x:f>
      </x:c>
    </x:row>
    <x:row r="793">
      <x:c r="D793" s="100" t="str">
        <x:f>IF(AND(A793="",B793=""),"",IF(A793="","CLIENT REQUIRED",IF(B793="","SERVICE REQUIRED",IF(COUNTIF(Clients!$A$5:$A$404,A793)=0,"CLIENT NOT FOUND",IF(COUNTIF(Services!$A$5:$A$104,B793)=0,"SERVICE NOT IN SERVICES","OK")))))</x:f>
      </x:c>
    </x:row>
    <x:row r="794">
      <x:c r="D794" s="100" t="str">
        <x:f>IF(AND(A794="",B794=""),"",IF(A794="","CLIENT REQUIRED",IF(B794="","SERVICE REQUIRED",IF(COUNTIF(Clients!$A$5:$A$404,A794)=0,"CLIENT NOT FOUND",IF(COUNTIF(Services!$A$5:$A$104,B794)=0,"SERVICE NOT IN SERVICES","OK")))))</x:f>
      </x:c>
    </x:row>
    <x:row r="795">
      <x:c r="D795" s="100" t="str">
        <x:f>IF(AND(A795="",B795=""),"",IF(A795="","CLIENT REQUIRED",IF(B795="","SERVICE REQUIRED",IF(COUNTIF(Clients!$A$5:$A$404,A795)=0,"CLIENT NOT FOUND",IF(COUNTIF(Services!$A$5:$A$104,B795)=0,"SERVICE NOT IN SERVICES","OK")))))</x:f>
      </x:c>
    </x:row>
    <x:row r="796">
      <x:c r="D796" s="100" t="str">
        <x:f>IF(AND(A796="",B796=""),"",IF(A796="","CLIENT REQUIRED",IF(B796="","SERVICE REQUIRED",IF(COUNTIF(Clients!$A$5:$A$404,A796)=0,"CLIENT NOT FOUND",IF(COUNTIF(Services!$A$5:$A$104,B796)=0,"SERVICE NOT IN SERVICES","OK")))))</x:f>
      </x:c>
    </x:row>
    <x:row r="797">
      <x:c r="D797" s="100" t="str">
        <x:f>IF(AND(A797="",B797=""),"",IF(A797="","CLIENT REQUIRED",IF(B797="","SERVICE REQUIRED",IF(COUNTIF(Clients!$A$5:$A$404,A797)=0,"CLIENT NOT FOUND",IF(COUNTIF(Services!$A$5:$A$104,B797)=0,"SERVICE NOT IN SERVICES","OK")))))</x:f>
      </x:c>
    </x:row>
    <x:row r="798">
      <x:c r="D798" s="100" t="str">
        <x:f>IF(AND(A798="",B798=""),"",IF(A798="","CLIENT REQUIRED",IF(B798="","SERVICE REQUIRED",IF(COUNTIF(Clients!$A$5:$A$404,A798)=0,"CLIENT NOT FOUND",IF(COUNTIF(Services!$A$5:$A$104,B798)=0,"SERVICE NOT IN SERVICES","OK")))))</x:f>
      </x:c>
    </x:row>
    <x:row r="799">
      <x:c r="D799" s="100" t="str">
        <x:f>IF(AND(A799="",B799=""),"",IF(A799="","CLIENT REQUIRED",IF(B799="","SERVICE REQUIRED",IF(COUNTIF(Clients!$A$5:$A$404,A799)=0,"CLIENT NOT FOUND",IF(COUNTIF(Services!$A$5:$A$104,B799)=0,"SERVICE NOT IN SERVICES","OK")))))</x:f>
      </x:c>
    </x:row>
    <x:row r="800">
      <x:c r="D800" s="100" t="str">
        <x:f>IF(AND(A800="",B800=""),"",IF(A800="","CLIENT REQUIRED",IF(B800="","SERVICE REQUIRED",IF(COUNTIF(Clients!$A$5:$A$404,A800)=0,"CLIENT NOT FOUND",IF(COUNTIF(Services!$A$5:$A$104,B800)=0,"SERVICE NOT IN SERVICES","OK")))))</x:f>
      </x:c>
    </x:row>
    <x:row r="801">
      <x:c r="D801" s="100" t="str">
        <x:f>IF(AND(A801="",B801=""),"",IF(A801="","CLIENT REQUIRED",IF(B801="","SERVICE REQUIRED",IF(COUNTIF(Clients!$A$5:$A$404,A801)=0,"CLIENT NOT FOUND",IF(COUNTIF(Services!$A$5:$A$104,B801)=0,"SERVICE NOT IN SERVICES","OK")))))</x:f>
      </x:c>
    </x:row>
    <x:row r="802">
      <x:c r="D802" s="100" t="str">
        <x:f>IF(AND(A802="",B802=""),"",IF(A802="","CLIENT REQUIRED",IF(B802="","SERVICE REQUIRED",IF(COUNTIF(Clients!$A$5:$A$404,A802)=0,"CLIENT NOT FOUND",IF(COUNTIF(Services!$A$5:$A$104,B802)=0,"SERVICE NOT IN SERVICES","OK")))))</x:f>
      </x:c>
    </x:row>
    <x:row r="803">
      <x:c r="D803" s="100" t="str">
        <x:f>IF(AND(A803="",B803=""),"",IF(A803="","CLIENT REQUIRED",IF(B803="","SERVICE REQUIRED",IF(COUNTIF(Clients!$A$5:$A$404,A803)=0,"CLIENT NOT FOUND",IF(COUNTIF(Services!$A$5:$A$104,B803)=0,"SERVICE NOT IN SERVICES","OK")))))</x:f>
      </x:c>
    </x:row>
    <x:row r="804">
      <x:c r="D804" s="100" t="str">
        <x:f>IF(AND(A804="",B804=""),"",IF(A804="","CLIENT REQUIRED",IF(B804="","SERVICE REQUIRED",IF(COUNTIF(Clients!$A$5:$A$404,A804)=0,"CLIENT NOT FOUND",IF(COUNTIF(Services!$A$5:$A$104,B804)=0,"SERVICE NOT IN SERVICES","OK")))))</x:f>
      </x:c>
    </x:row>
    <x:row r="805">
      <x:c r="D805" s="100" t="str">
        <x:f>IF(AND(A805="",B805=""),"",IF(A805="","CLIENT REQUIRED",IF(B805="","SERVICE REQUIRED",IF(COUNTIF(Clients!$A$5:$A$404,A805)=0,"CLIENT NOT FOUND",IF(COUNTIF(Services!$A$5:$A$104,B805)=0,"SERVICE NOT IN SERVICES","OK")))))</x:f>
      </x:c>
    </x:row>
    <x:row r="806">
      <x:c r="D806" s="100" t="str">
        <x:f>IF(AND(A806="",B806=""),"",IF(A806="","CLIENT REQUIRED",IF(B806="","SERVICE REQUIRED",IF(COUNTIF(Clients!$A$5:$A$404,A806)=0,"CLIENT NOT FOUND",IF(COUNTIF(Services!$A$5:$A$104,B806)=0,"SERVICE NOT IN SERVICES","OK")))))</x:f>
      </x:c>
    </x:row>
    <x:row r="807">
      <x:c r="D807" s="100" t="str">
        <x:f>IF(AND(A807="",B807=""),"",IF(A807="","CLIENT REQUIRED",IF(B807="","SERVICE REQUIRED",IF(COUNTIF(Clients!$A$5:$A$404,A807)=0,"CLIENT NOT FOUND",IF(COUNTIF(Services!$A$5:$A$104,B807)=0,"SERVICE NOT IN SERVICES","OK")))))</x:f>
      </x:c>
    </x:row>
    <x:row r="808">
      <x:c r="D808" s="100" t="str">
        <x:f>IF(AND(A808="",B808=""),"",IF(A808="","CLIENT REQUIRED",IF(B808="","SERVICE REQUIRED",IF(COUNTIF(Clients!$A$5:$A$404,A808)=0,"CLIENT NOT FOUND",IF(COUNTIF(Services!$A$5:$A$104,B808)=0,"SERVICE NOT IN SERVICES","OK")))))</x:f>
      </x:c>
    </x:row>
    <x:row r="809">
      <x:c r="D809" s="100" t="str">
        <x:f>IF(AND(A809="",B809=""),"",IF(A809="","CLIENT REQUIRED",IF(B809="","SERVICE REQUIRED",IF(COUNTIF(Clients!$A$5:$A$404,A809)=0,"CLIENT NOT FOUND",IF(COUNTIF(Services!$A$5:$A$104,B809)=0,"SERVICE NOT IN SERVICES","OK")))))</x:f>
      </x:c>
    </x:row>
    <x:row r="810">
      <x:c r="D810" s="100" t="str">
        <x:f>IF(AND(A810="",B810=""),"",IF(A810="","CLIENT REQUIRED",IF(B810="","SERVICE REQUIRED",IF(COUNTIF(Clients!$A$5:$A$404,A810)=0,"CLIENT NOT FOUND",IF(COUNTIF(Services!$A$5:$A$104,B810)=0,"SERVICE NOT IN SERVICES","OK")))))</x:f>
      </x:c>
    </x:row>
    <x:row r="811">
      <x:c r="D811" s="100" t="str">
        <x:f>IF(AND(A811="",B811=""),"",IF(A811="","CLIENT REQUIRED",IF(B811="","SERVICE REQUIRED",IF(COUNTIF(Clients!$A$5:$A$404,A811)=0,"CLIENT NOT FOUND",IF(COUNTIF(Services!$A$5:$A$104,B811)=0,"SERVICE NOT IN SERVICES","OK")))))</x:f>
      </x:c>
    </x:row>
    <x:row r="812">
      <x:c r="D812" s="100" t="str">
        <x:f>IF(AND(A812="",B812=""),"",IF(A812="","CLIENT REQUIRED",IF(B812="","SERVICE REQUIRED",IF(COUNTIF(Clients!$A$5:$A$404,A812)=0,"CLIENT NOT FOUND",IF(COUNTIF(Services!$A$5:$A$104,B812)=0,"SERVICE NOT IN SERVICES","OK")))))</x:f>
      </x:c>
    </x:row>
    <x:row r="813">
      <x:c r="D813" s="100" t="str">
        <x:f>IF(AND(A813="",B813=""),"",IF(A813="","CLIENT REQUIRED",IF(B813="","SERVICE REQUIRED",IF(COUNTIF(Clients!$A$5:$A$404,A813)=0,"CLIENT NOT FOUND",IF(COUNTIF(Services!$A$5:$A$104,B813)=0,"SERVICE NOT IN SERVICES","OK")))))</x:f>
      </x:c>
    </x:row>
    <x:row r="814">
      <x:c r="D814" s="100" t="str">
        <x:f>IF(AND(A814="",B814=""),"",IF(A814="","CLIENT REQUIRED",IF(B814="","SERVICE REQUIRED",IF(COUNTIF(Clients!$A$5:$A$404,A814)=0,"CLIENT NOT FOUND",IF(COUNTIF(Services!$A$5:$A$104,B814)=0,"SERVICE NOT IN SERVICES","OK")))))</x:f>
      </x:c>
    </x:row>
    <x:row r="815">
      <x:c r="D815" s="100" t="str">
        <x:f>IF(AND(A815="",B815=""),"",IF(A815="","CLIENT REQUIRED",IF(B815="","SERVICE REQUIRED",IF(COUNTIF(Clients!$A$5:$A$404,A815)=0,"CLIENT NOT FOUND",IF(COUNTIF(Services!$A$5:$A$104,B815)=0,"SERVICE NOT IN SERVICES","OK")))))</x:f>
      </x:c>
    </x:row>
    <x:row r="816">
      <x:c r="D816" s="100" t="str">
        <x:f>IF(AND(A816="",B816=""),"",IF(A816="","CLIENT REQUIRED",IF(B816="","SERVICE REQUIRED",IF(COUNTIF(Clients!$A$5:$A$404,A816)=0,"CLIENT NOT FOUND",IF(COUNTIF(Services!$A$5:$A$104,B816)=0,"SERVICE NOT IN SERVICES","OK")))))</x:f>
      </x:c>
    </x:row>
    <x:row r="817">
      <x:c r="D817" s="100" t="str">
        <x:f>IF(AND(A817="",B817=""),"",IF(A817="","CLIENT REQUIRED",IF(B817="","SERVICE REQUIRED",IF(COUNTIF(Clients!$A$5:$A$404,A817)=0,"CLIENT NOT FOUND",IF(COUNTIF(Services!$A$5:$A$104,B817)=0,"SERVICE NOT IN SERVICES","OK")))))</x:f>
      </x:c>
    </x:row>
    <x:row r="818">
      <x:c r="D818" s="100" t="str">
        <x:f>IF(AND(A818="",B818=""),"",IF(A818="","CLIENT REQUIRED",IF(B818="","SERVICE REQUIRED",IF(COUNTIF(Clients!$A$5:$A$404,A818)=0,"CLIENT NOT FOUND",IF(COUNTIF(Services!$A$5:$A$104,B818)=0,"SERVICE NOT IN SERVICES","OK")))))</x:f>
      </x:c>
    </x:row>
    <x:row r="819">
      <x:c r="D819" s="100" t="str">
        <x:f>IF(AND(A819="",B819=""),"",IF(A819="","CLIENT REQUIRED",IF(B819="","SERVICE REQUIRED",IF(COUNTIF(Clients!$A$5:$A$404,A819)=0,"CLIENT NOT FOUND",IF(COUNTIF(Services!$A$5:$A$104,B819)=0,"SERVICE NOT IN SERVICES","OK")))))</x:f>
      </x:c>
    </x:row>
    <x:row r="820">
      <x:c r="D820" s="100" t="str">
        <x:f>IF(AND(A820="",B820=""),"",IF(A820="","CLIENT REQUIRED",IF(B820="","SERVICE REQUIRED",IF(COUNTIF(Clients!$A$5:$A$404,A820)=0,"CLIENT NOT FOUND",IF(COUNTIF(Services!$A$5:$A$104,B820)=0,"SERVICE NOT IN SERVICES","OK")))))</x:f>
      </x:c>
    </x:row>
    <x:row r="821">
      <x:c r="D821" s="100" t="str">
        <x:f>IF(AND(A821="",B821=""),"",IF(A821="","CLIENT REQUIRED",IF(B821="","SERVICE REQUIRED",IF(COUNTIF(Clients!$A$5:$A$404,A821)=0,"CLIENT NOT FOUND",IF(COUNTIF(Services!$A$5:$A$104,B821)=0,"SERVICE NOT IN SERVICES","OK")))))</x:f>
      </x:c>
    </x:row>
    <x:row r="822">
      <x:c r="D822" s="100" t="str">
        <x:f>IF(AND(A822="",B822=""),"",IF(A822="","CLIENT REQUIRED",IF(B822="","SERVICE REQUIRED",IF(COUNTIF(Clients!$A$5:$A$404,A822)=0,"CLIENT NOT FOUND",IF(COUNTIF(Services!$A$5:$A$104,B822)=0,"SERVICE NOT IN SERVICES","OK")))))</x:f>
      </x:c>
    </x:row>
    <x:row r="823">
      <x:c r="D823" s="100" t="str">
        <x:f>IF(AND(A823="",B823=""),"",IF(A823="","CLIENT REQUIRED",IF(B823="","SERVICE REQUIRED",IF(COUNTIF(Clients!$A$5:$A$404,A823)=0,"CLIENT NOT FOUND",IF(COUNTIF(Services!$A$5:$A$104,B823)=0,"SERVICE NOT IN SERVICES","OK")))))</x:f>
      </x:c>
    </x:row>
    <x:row r="824">
      <x:c r="D824" s="100" t="str">
        <x:f>IF(AND(A824="",B824=""),"",IF(A824="","CLIENT REQUIRED",IF(B824="","SERVICE REQUIRED",IF(COUNTIF(Clients!$A$5:$A$404,A824)=0,"CLIENT NOT FOUND",IF(COUNTIF(Services!$A$5:$A$104,B824)=0,"SERVICE NOT IN SERVICES","OK")))))</x:f>
      </x:c>
    </x:row>
    <x:row r="825">
      <x:c r="D825" s="100" t="str">
        <x:f>IF(AND(A825="",B825=""),"",IF(A825="","CLIENT REQUIRED",IF(B825="","SERVICE REQUIRED",IF(COUNTIF(Clients!$A$5:$A$404,A825)=0,"CLIENT NOT FOUND",IF(COUNTIF(Services!$A$5:$A$104,B825)=0,"SERVICE NOT IN SERVICES","OK")))))</x:f>
      </x:c>
    </x:row>
    <x:row r="826">
      <x:c r="D826" s="100" t="str">
        <x:f>IF(AND(A826="",B826=""),"",IF(A826="","CLIENT REQUIRED",IF(B826="","SERVICE REQUIRED",IF(COUNTIF(Clients!$A$5:$A$404,A826)=0,"CLIENT NOT FOUND",IF(COUNTIF(Services!$A$5:$A$104,B826)=0,"SERVICE NOT IN SERVICES","OK")))))</x:f>
      </x:c>
    </x:row>
    <x:row r="827">
      <x:c r="D827" s="100" t="str">
        <x:f>IF(AND(A827="",B827=""),"",IF(A827="","CLIENT REQUIRED",IF(B827="","SERVICE REQUIRED",IF(COUNTIF(Clients!$A$5:$A$404,A827)=0,"CLIENT NOT FOUND",IF(COUNTIF(Services!$A$5:$A$104,B827)=0,"SERVICE NOT IN SERVICES","OK")))))</x:f>
      </x:c>
    </x:row>
    <x:row r="828">
      <x:c r="D828" s="100" t="str">
        <x:f>IF(AND(A828="",B828=""),"",IF(A828="","CLIENT REQUIRED",IF(B828="","SERVICE REQUIRED",IF(COUNTIF(Clients!$A$5:$A$404,A828)=0,"CLIENT NOT FOUND",IF(COUNTIF(Services!$A$5:$A$104,B828)=0,"SERVICE NOT IN SERVICES","OK")))))</x:f>
      </x:c>
    </x:row>
    <x:row r="829">
      <x:c r="D829" s="100" t="str">
        <x:f>IF(AND(A829="",B829=""),"",IF(A829="","CLIENT REQUIRED",IF(B829="","SERVICE REQUIRED",IF(COUNTIF(Clients!$A$5:$A$404,A829)=0,"CLIENT NOT FOUND",IF(COUNTIF(Services!$A$5:$A$104,B829)=0,"SERVICE NOT IN SERVICES","OK")))))</x:f>
      </x:c>
    </x:row>
    <x:row r="830">
      <x:c r="D830" s="100" t="str">
        <x:f>IF(AND(A830="",B830=""),"",IF(A830="","CLIENT REQUIRED",IF(B830="","SERVICE REQUIRED",IF(COUNTIF(Clients!$A$5:$A$404,A830)=0,"CLIENT NOT FOUND",IF(COUNTIF(Services!$A$5:$A$104,B830)=0,"SERVICE NOT IN SERVICES","OK")))))</x:f>
      </x:c>
    </x:row>
    <x:row r="831">
      <x:c r="D831" s="100" t="str">
        <x:f>IF(AND(A831="",B831=""),"",IF(A831="","CLIENT REQUIRED",IF(B831="","SERVICE REQUIRED",IF(COUNTIF(Clients!$A$5:$A$404,A831)=0,"CLIENT NOT FOUND",IF(COUNTIF(Services!$A$5:$A$104,B831)=0,"SERVICE NOT IN SERVICES","OK")))))</x:f>
      </x:c>
    </x:row>
    <x:row r="832">
      <x:c r="D832" s="100" t="str">
        <x:f>IF(AND(A832="",B832=""),"",IF(A832="","CLIENT REQUIRED",IF(B832="","SERVICE REQUIRED",IF(COUNTIF(Clients!$A$5:$A$404,A832)=0,"CLIENT NOT FOUND",IF(COUNTIF(Services!$A$5:$A$104,B832)=0,"SERVICE NOT IN SERVICES","OK")))))</x:f>
      </x:c>
    </x:row>
    <x:row r="833">
      <x:c r="D833" s="100" t="str">
        <x:f>IF(AND(A833="",B833=""),"",IF(A833="","CLIENT REQUIRED",IF(B833="","SERVICE REQUIRED",IF(COUNTIF(Clients!$A$5:$A$404,A833)=0,"CLIENT NOT FOUND",IF(COUNTIF(Services!$A$5:$A$104,B833)=0,"SERVICE NOT IN SERVICES","OK")))))</x:f>
      </x:c>
    </x:row>
    <x:row r="834">
      <x:c r="D834" s="100" t="str">
        <x:f>IF(AND(A834="",B834=""),"",IF(A834="","CLIENT REQUIRED",IF(B834="","SERVICE REQUIRED",IF(COUNTIF(Clients!$A$5:$A$404,A834)=0,"CLIENT NOT FOUND",IF(COUNTIF(Services!$A$5:$A$104,B834)=0,"SERVICE NOT IN SERVICES","OK")))))</x:f>
      </x:c>
    </x:row>
    <x:row r="835">
      <x:c r="D835" s="100" t="str">
        <x:f>IF(AND(A835="",B835=""),"",IF(A835="","CLIENT REQUIRED",IF(B835="","SERVICE REQUIRED",IF(COUNTIF(Clients!$A$5:$A$404,A835)=0,"CLIENT NOT FOUND",IF(COUNTIF(Services!$A$5:$A$104,B835)=0,"SERVICE NOT IN SERVICES","OK")))))</x:f>
      </x:c>
    </x:row>
    <x:row r="836">
      <x:c r="D836" s="100" t="str">
        <x:f>IF(AND(A836="",B836=""),"",IF(A836="","CLIENT REQUIRED",IF(B836="","SERVICE REQUIRED",IF(COUNTIF(Clients!$A$5:$A$404,A836)=0,"CLIENT NOT FOUND",IF(COUNTIF(Services!$A$5:$A$104,B836)=0,"SERVICE NOT IN SERVICES","OK")))))</x:f>
      </x:c>
    </x:row>
    <x:row r="837">
      <x:c r="D837" s="100" t="str">
        <x:f>IF(AND(A837="",B837=""),"",IF(A837="","CLIENT REQUIRED",IF(B837="","SERVICE REQUIRED",IF(COUNTIF(Clients!$A$5:$A$404,A837)=0,"CLIENT NOT FOUND",IF(COUNTIF(Services!$A$5:$A$104,B837)=0,"SERVICE NOT IN SERVICES","OK")))))</x:f>
      </x:c>
    </x:row>
    <x:row r="838">
      <x:c r="D838" s="100" t="str">
        <x:f>IF(AND(A838="",B838=""),"",IF(A838="","CLIENT REQUIRED",IF(B838="","SERVICE REQUIRED",IF(COUNTIF(Clients!$A$5:$A$404,A838)=0,"CLIENT NOT FOUND",IF(COUNTIF(Services!$A$5:$A$104,B838)=0,"SERVICE NOT IN SERVICES","OK")))))</x:f>
      </x:c>
    </x:row>
    <x:row r="839">
      <x:c r="D839" s="100" t="str">
        <x:f>IF(AND(A839="",B839=""),"",IF(A839="","CLIENT REQUIRED",IF(B839="","SERVICE REQUIRED",IF(COUNTIF(Clients!$A$5:$A$404,A839)=0,"CLIENT NOT FOUND",IF(COUNTIF(Services!$A$5:$A$104,B839)=0,"SERVICE NOT IN SERVICES","OK")))))</x:f>
      </x:c>
    </x:row>
    <x:row r="840">
      <x:c r="D840" s="100" t="str">
        <x:f>IF(AND(A840="",B840=""),"",IF(A840="","CLIENT REQUIRED",IF(B840="","SERVICE REQUIRED",IF(COUNTIF(Clients!$A$5:$A$404,A840)=0,"CLIENT NOT FOUND",IF(COUNTIF(Services!$A$5:$A$104,B840)=0,"SERVICE NOT IN SERVICES","OK")))))</x:f>
      </x:c>
    </x:row>
    <x:row r="841">
      <x:c r="D841" s="100" t="str">
        <x:f>IF(AND(A841="",B841=""),"",IF(A841="","CLIENT REQUIRED",IF(B841="","SERVICE REQUIRED",IF(COUNTIF(Clients!$A$5:$A$404,A841)=0,"CLIENT NOT FOUND",IF(COUNTIF(Services!$A$5:$A$104,B841)=0,"SERVICE NOT IN SERVICES","OK")))))</x:f>
      </x:c>
    </x:row>
    <x:row r="842">
      <x:c r="D842" s="100" t="str">
        <x:f>IF(AND(A842="",B842=""),"",IF(A842="","CLIENT REQUIRED",IF(B842="","SERVICE REQUIRED",IF(COUNTIF(Clients!$A$5:$A$404,A842)=0,"CLIENT NOT FOUND",IF(COUNTIF(Services!$A$5:$A$104,B842)=0,"SERVICE NOT IN SERVICES","OK")))))</x:f>
      </x:c>
    </x:row>
    <x:row r="843">
      <x:c r="D843" s="100" t="str">
        <x:f>IF(AND(A843="",B843=""),"",IF(A843="","CLIENT REQUIRED",IF(B843="","SERVICE REQUIRED",IF(COUNTIF(Clients!$A$5:$A$404,A843)=0,"CLIENT NOT FOUND",IF(COUNTIF(Services!$A$5:$A$104,B843)=0,"SERVICE NOT IN SERVICES","OK")))))</x:f>
      </x:c>
    </x:row>
    <x:row r="844">
      <x:c r="D844" s="100" t="str">
        <x:f>IF(AND(A844="",B844=""),"",IF(A844="","CLIENT REQUIRED",IF(B844="","SERVICE REQUIRED",IF(COUNTIF(Clients!$A$5:$A$404,A844)=0,"CLIENT NOT FOUND",IF(COUNTIF(Services!$A$5:$A$104,B844)=0,"SERVICE NOT IN SERVICES","OK")))))</x:f>
      </x:c>
    </x:row>
    <x:row r="845">
      <x:c r="D845" s="100" t="str">
        <x:f>IF(AND(A845="",B845=""),"",IF(A845="","CLIENT REQUIRED",IF(B845="","SERVICE REQUIRED",IF(COUNTIF(Clients!$A$5:$A$404,A845)=0,"CLIENT NOT FOUND",IF(COUNTIF(Services!$A$5:$A$104,B845)=0,"SERVICE NOT IN SERVICES","OK")))))</x:f>
      </x:c>
    </x:row>
    <x:row r="846">
      <x:c r="D846" s="100" t="str">
        <x:f>IF(AND(A846="",B846=""),"",IF(A846="","CLIENT REQUIRED",IF(B846="","SERVICE REQUIRED",IF(COUNTIF(Clients!$A$5:$A$404,A846)=0,"CLIENT NOT FOUND",IF(COUNTIF(Services!$A$5:$A$104,B846)=0,"SERVICE NOT IN SERVICES","OK")))))</x:f>
      </x:c>
    </x:row>
    <x:row r="847">
      <x:c r="D847" s="100" t="str">
        <x:f>IF(AND(A847="",B847=""),"",IF(A847="","CLIENT REQUIRED",IF(B847="","SERVICE REQUIRED",IF(COUNTIF(Clients!$A$5:$A$404,A847)=0,"CLIENT NOT FOUND",IF(COUNTIF(Services!$A$5:$A$104,B847)=0,"SERVICE NOT IN SERVICES","OK")))))</x:f>
      </x:c>
    </x:row>
    <x:row r="848">
      <x:c r="D848" s="100" t="str">
        <x:f>IF(AND(A848="",B848=""),"",IF(A848="","CLIENT REQUIRED",IF(B848="","SERVICE REQUIRED",IF(COUNTIF(Clients!$A$5:$A$404,A848)=0,"CLIENT NOT FOUND",IF(COUNTIF(Services!$A$5:$A$104,B848)=0,"SERVICE NOT IN SERVICES","OK")))))</x:f>
      </x:c>
    </x:row>
    <x:row r="849">
      <x:c r="D849" s="100" t="str">
        <x:f>IF(AND(A849="",B849=""),"",IF(A849="","CLIENT REQUIRED",IF(B849="","SERVICE REQUIRED",IF(COUNTIF(Clients!$A$5:$A$404,A849)=0,"CLIENT NOT FOUND",IF(COUNTIF(Services!$A$5:$A$104,B849)=0,"SERVICE NOT IN SERVICES","OK")))))</x:f>
      </x:c>
    </x:row>
    <x:row r="850">
      <x:c r="D850" s="100" t="str">
        <x:f>IF(AND(A850="",B850=""),"",IF(A850="","CLIENT REQUIRED",IF(B850="","SERVICE REQUIRED",IF(COUNTIF(Clients!$A$5:$A$404,A850)=0,"CLIENT NOT FOUND",IF(COUNTIF(Services!$A$5:$A$104,B850)=0,"SERVICE NOT IN SERVICES","OK")))))</x:f>
      </x:c>
    </x:row>
    <x:row r="851">
      <x:c r="D851" s="100" t="str">
        <x:f>IF(AND(A851="",B851=""),"",IF(A851="","CLIENT REQUIRED",IF(B851="","SERVICE REQUIRED",IF(COUNTIF(Clients!$A$5:$A$404,A851)=0,"CLIENT NOT FOUND",IF(COUNTIF(Services!$A$5:$A$104,B851)=0,"SERVICE NOT IN SERVICES","OK")))))</x:f>
      </x:c>
    </x:row>
    <x:row r="852">
      <x:c r="D852" s="100" t="str">
        <x:f>IF(AND(A852="",B852=""),"",IF(A852="","CLIENT REQUIRED",IF(B852="","SERVICE REQUIRED",IF(COUNTIF(Clients!$A$5:$A$404,A852)=0,"CLIENT NOT FOUND",IF(COUNTIF(Services!$A$5:$A$104,B852)=0,"SERVICE NOT IN SERVICES","OK")))))</x:f>
      </x:c>
    </x:row>
    <x:row r="853">
      <x:c r="D853" s="100" t="str">
        <x:f>IF(AND(A853="",B853=""),"",IF(A853="","CLIENT REQUIRED",IF(B853="","SERVICE REQUIRED",IF(COUNTIF(Clients!$A$5:$A$404,A853)=0,"CLIENT NOT FOUND",IF(COUNTIF(Services!$A$5:$A$104,B853)=0,"SERVICE NOT IN SERVICES","OK")))))</x:f>
      </x:c>
    </x:row>
    <x:row r="854">
      <x:c r="D854" s="100" t="str">
        <x:f>IF(AND(A854="",B854=""),"",IF(A854="","CLIENT REQUIRED",IF(B854="","SERVICE REQUIRED",IF(COUNTIF(Clients!$A$5:$A$404,A854)=0,"CLIENT NOT FOUND",IF(COUNTIF(Services!$A$5:$A$104,B854)=0,"SERVICE NOT IN SERVICES","OK")))))</x:f>
      </x:c>
    </x:row>
    <x:row r="855">
      <x:c r="D855" s="100" t="str">
        <x:f>IF(AND(A855="",B855=""),"",IF(A855="","CLIENT REQUIRED",IF(B855="","SERVICE REQUIRED",IF(COUNTIF(Clients!$A$5:$A$404,A855)=0,"CLIENT NOT FOUND",IF(COUNTIF(Services!$A$5:$A$104,B855)=0,"SERVICE NOT IN SERVICES","OK")))))</x:f>
      </x:c>
    </x:row>
    <x:row r="856">
      <x:c r="D856" s="100" t="str">
        <x:f>IF(AND(A856="",B856=""),"",IF(A856="","CLIENT REQUIRED",IF(B856="","SERVICE REQUIRED",IF(COUNTIF(Clients!$A$5:$A$404,A856)=0,"CLIENT NOT FOUND",IF(COUNTIF(Services!$A$5:$A$104,B856)=0,"SERVICE NOT IN SERVICES","OK")))))</x:f>
      </x:c>
    </x:row>
    <x:row r="857">
      <x:c r="D857" s="100" t="str">
        <x:f>IF(AND(A857="",B857=""),"",IF(A857="","CLIENT REQUIRED",IF(B857="","SERVICE REQUIRED",IF(COUNTIF(Clients!$A$5:$A$404,A857)=0,"CLIENT NOT FOUND",IF(COUNTIF(Services!$A$5:$A$104,B857)=0,"SERVICE NOT IN SERVICES","OK")))))</x:f>
      </x:c>
    </x:row>
    <x:row r="858">
      <x:c r="D858" s="100" t="str">
        <x:f>IF(AND(A858="",B858=""),"",IF(A858="","CLIENT REQUIRED",IF(B858="","SERVICE REQUIRED",IF(COUNTIF(Clients!$A$5:$A$404,A858)=0,"CLIENT NOT FOUND",IF(COUNTIF(Services!$A$5:$A$104,B858)=0,"SERVICE NOT IN SERVICES","OK")))))</x:f>
      </x:c>
    </x:row>
    <x:row r="859">
      <x:c r="D859" s="100" t="str">
        <x:f>IF(AND(A859="",B859=""),"",IF(A859="","CLIENT REQUIRED",IF(B859="","SERVICE REQUIRED",IF(COUNTIF(Clients!$A$5:$A$404,A859)=0,"CLIENT NOT FOUND",IF(COUNTIF(Services!$A$5:$A$104,B859)=0,"SERVICE NOT IN SERVICES","OK")))))</x:f>
      </x:c>
    </x:row>
    <x:row r="860">
      <x:c r="D860" s="100" t="str">
        <x:f>IF(AND(A860="",B860=""),"",IF(A860="","CLIENT REQUIRED",IF(B860="","SERVICE REQUIRED",IF(COUNTIF(Clients!$A$5:$A$404,A860)=0,"CLIENT NOT FOUND",IF(COUNTIF(Services!$A$5:$A$104,B860)=0,"SERVICE NOT IN SERVICES","OK")))))</x:f>
      </x:c>
    </x:row>
    <x:row r="861">
      <x:c r="D861" s="100" t="str">
        <x:f>IF(AND(A861="",B861=""),"",IF(A861="","CLIENT REQUIRED",IF(B861="","SERVICE REQUIRED",IF(COUNTIF(Clients!$A$5:$A$404,A861)=0,"CLIENT NOT FOUND",IF(COUNTIF(Services!$A$5:$A$104,B861)=0,"SERVICE NOT IN SERVICES","OK")))))</x:f>
      </x:c>
    </x:row>
    <x:row r="862">
      <x:c r="D862" s="100" t="str">
        <x:f>IF(AND(A862="",B862=""),"",IF(A862="","CLIENT REQUIRED",IF(B862="","SERVICE REQUIRED",IF(COUNTIF(Clients!$A$5:$A$404,A862)=0,"CLIENT NOT FOUND",IF(COUNTIF(Services!$A$5:$A$104,B862)=0,"SERVICE NOT IN SERVICES","OK")))))</x:f>
      </x:c>
    </x:row>
    <x:row r="863">
      <x:c r="D863" s="100" t="str">
        <x:f>IF(AND(A863="",B863=""),"",IF(A863="","CLIENT REQUIRED",IF(B863="","SERVICE REQUIRED",IF(COUNTIF(Clients!$A$5:$A$404,A863)=0,"CLIENT NOT FOUND",IF(COUNTIF(Services!$A$5:$A$104,B863)=0,"SERVICE NOT IN SERVICES","OK")))))</x:f>
      </x:c>
    </x:row>
    <x:row r="864">
      <x:c r="D864" s="100" t="str">
        <x:f>IF(AND(A864="",B864=""),"",IF(A864="","CLIENT REQUIRED",IF(B864="","SERVICE REQUIRED",IF(COUNTIF(Clients!$A$5:$A$404,A864)=0,"CLIENT NOT FOUND",IF(COUNTIF(Services!$A$5:$A$104,B864)=0,"SERVICE NOT IN SERVICES","OK")))))</x:f>
      </x:c>
    </x:row>
    <x:row r="865">
      <x:c r="D865" s="100" t="str">
        <x:f>IF(AND(A865="",B865=""),"",IF(A865="","CLIENT REQUIRED",IF(B865="","SERVICE REQUIRED",IF(COUNTIF(Clients!$A$5:$A$404,A865)=0,"CLIENT NOT FOUND",IF(COUNTIF(Services!$A$5:$A$104,B865)=0,"SERVICE NOT IN SERVICES","OK")))))</x:f>
      </x:c>
    </x:row>
    <x:row r="866">
      <x:c r="D866" s="100" t="str">
        <x:f>IF(AND(A866="",B866=""),"",IF(A866="","CLIENT REQUIRED",IF(B866="","SERVICE REQUIRED",IF(COUNTIF(Clients!$A$5:$A$404,A866)=0,"CLIENT NOT FOUND",IF(COUNTIF(Services!$A$5:$A$104,B866)=0,"SERVICE NOT IN SERVICES","OK")))))</x:f>
      </x:c>
    </x:row>
    <x:row r="867">
      <x:c r="D867" s="100" t="str">
        <x:f>IF(AND(A867="",B867=""),"",IF(A867="","CLIENT REQUIRED",IF(B867="","SERVICE REQUIRED",IF(COUNTIF(Clients!$A$5:$A$404,A867)=0,"CLIENT NOT FOUND",IF(COUNTIF(Services!$A$5:$A$104,B867)=0,"SERVICE NOT IN SERVICES","OK")))))</x:f>
      </x:c>
    </x:row>
    <x:row r="868">
      <x:c r="D868" s="100" t="str">
        <x:f>IF(AND(A868="",B868=""),"",IF(A868="","CLIENT REQUIRED",IF(B868="","SERVICE REQUIRED",IF(COUNTIF(Clients!$A$5:$A$404,A868)=0,"CLIENT NOT FOUND",IF(COUNTIF(Services!$A$5:$A$104,B868)=0,"SERVICE NOT IN SERVICES","OK")))))</x:f>
      </x:c>
    </x:row>
    <x:row r="869">
      <x:c r="D869" s="100" t="str">
        <x:f>IF(AND(A869="",B869=""),"",IF(A869="","CLIENT REQUIRED",IF(B869="","SERVICE REQUIRED",IF(COUNTIF(Clients!$A$5:$A$404,A869)=0,"CLIENT NOT FOUND",IF(COUNTIF(Services!$A$5:$A$104,B869)=0,"SERVICE NOT IN SERVICES","OK")))))</x:f>
      </x:c>
    </x:row>
    <x:row r="870">
      <x:c r="D870" s="100" t="str">
        <x:f>IF(AND(A870="",B870=""),"",IF(A870="","CLIENT REQUIRED",IF(B870="","SERVICE REQUIRED",IF(COUNTIF(Clients!$A$5:$A$404,A870)=0,"CLIENT NOT FOUND",IF(COUNTIF(Services!$A$5:$A$104,B870)=0,"SERVICE NOT IN SERVICES","OK")))))</x:f>
      </x:c>
    </x:row>
    <x:row r="871">
      <x:c r="D871" s="100" t="str">
        <x:f>IF(AND(A871="",B871=""),"",IF(A871="","CLIENT REQUIRED",IF(B871="","SERVICE REQUIRED",IF(COUNTIF(Clients!$A$5:$A$404,A871)=0,"CLIENT NOT FOUND",IF(COUNTIF(Services!$A$5:$A$104,B871)=0,"SERVICE NOT IN SERVICES","OK")))))</x:f>
      </x:c>
    </x:row>
    <x:row r="872">
      <x:c r="D872" s="100" t="str">
        <x:f>IF(AND(A872="",B872=""),"",IF(A872="","CLIENT REQUIRED",IF(B872="","SERVICE REQUIRED",IF(COUNTIF(Clients!$A$5:$A$404,A872)=0,"CLIENT NOT FOUND",IF(COUNTIF(Services!$A$5:$A$104,B872)=0,"SERVICE NOT IN SERVICES","OK")))))</x:f>
      </x:c>
    </x:row>
    <x:row r="873">
      <x:c r="D873" s="100" t="str">
        <x:f>IF(AND(A873="",B873=""),"",IF(A873="","CLIENT REQUIRED",IF(B873="","SERVICE REQUIRED",IF(COUNTIF(Clients!$A$5:$A$404,A873)=0,"CLIENT NOT FOUND",IF(COUNTIF(Services!$A$5:$A$104,B873)=0,"SERVICE NOT IN SERVICES","OK")))))</x:f>
      </x:c>
    </x:row>
    <x:row r="874">
      <x:c r="D874" s="100" t="str">
        <x:f>IF(AND(A874="",B874=""),"",IF(A874="","CLIENT REQUIRED",IF(B874="","SERVICE REQUIRED",IF(COUNTIF(Clients!$A$5:$A$404,A874)=0,"CLIENT NOT FOUND",IF(COUNTIF(Services!$A$5:$A$104,B874)=0,"SERVICE NOT IN SERVICES","OK")))))</x:f>
      </x:c>
    </x:row>
    <x:row r="875">
      <x:c r="D875" s="100" t="str">
        <x:f>IF(AND(A875="",B875=""),"",IF(A875="","CLIENT REQUIRED",IF(B875="","SERVICE REQUIRED",IF(COUNTIF(Clients!$A$5:$A$404,A875)=0,"CLIENT NOT FOUND",IF(COUNTIF(Services!$A$5:$A$104,B875)=0,"SERVICE NOT IN SERVICES","OK")))))</x:f>
      </x:c>
    </x:row>
    <x:row r="876">
      <x:c r="D876" s="100" t="str">
        <x:f>IF(AND(A876="",B876=""),"",IF(A876="","CLIENT REQUIRED",IF(B876="","SERVICE REQUIRED",IF(COUNTIF(Clients!$A$5:$A$404,A876)=0,"CLIENT NOT FOUND",IF(COUNTIF(Services!$A$5:$A$104,B876)=0,"SERVICE NOT IN SERVICES","OK")))))</x:f>
      </x:c>
    </x:row>
    <x:row r="877">
      <x:c r="D877" s="100" t="str">
        <x:f>IF(AND(A877="",B877=""),"",IF(A877="","CLIENT REQUIRED",IF(B877="","SERVICE REQUIRED",IF(COUNTIF(Clients!$A$5:$A$404,A877)=0,"CLIENT NOT FOUND",IF(COUNTIF(Services!$A$5:$A$104,B877)=0,"SERVICE NOT IN SERVICES","OK")))))</x:f>
      </x:c>
    </x:row>
    <x:row r="878">
      <x:c r="D878" s="100" t="str">
        <x:f>IF(AND(A878="",B878=""),"",IF(A878="","CLIENT REQUIRED",IF(B878="","SERVICE REQUIRED",IF(COUNTIF(Clients!$A$5:$A$404,A878)=0,"CLIENT NOT FOUND",IF(COUNTIF(Services!$A$5:$A$104,B878)=0,"SERVICE NOT IN SERVICES","OK")))))</x:f>
      </x:c>
    </x:row>
    <x:row r="879">
      <x:c r="D879" s="100" t="str">
        <x:f>IF(AND(A879="",B879=""),"",IF(A879="","CLIENT REQUIRED",IF(B879="","SERVICE REQUIRED",IF(COUNTIF(Clients!$A$5:$A$404,A879)=0,"CLIENT NOT FOUND",IF(COUNTIF(Services!$A$5:$A$104,B879)=0,"SERVICE NOT IN SERVICES","OK")))))</x:f>
      </x:c>
    </x:row>
    <x:row r="880">
      <x:c r="D880" s="100" t="str">
        <x:f>IF(AND(A880="",B880=""),"",IF(A880="","CLIENT REQUIRED",IF(B880="","SERVICE REQUIRED",IF(COUNTIF(Clients!$A$5:$A$404,A880)=0,"CLIENT NOT FOUND",IF(COUNTIF(Services!$A$5:$A$104,B880)=0,"SERVICE NOT IN SERVICES","OK")))))</x:f>
      </x:c>
    </x:row>
    <x:row r="881">
      <x:c r="D881" s="100" t="str">
        <x:f>IF(AND(A881="",B881=""),"",IF(A881="","CLIENT REQUIRED",IF(B881="","SERVICE REQUIRED",IF(COUNTIF(Clients!$A$5:$A$404,A881)=0,"CLIENT NOT FOUND",IF(COUNTIF(Services!$A$5:$A$104,B881)=0,"SERVICE NOT IN SERVICES","OK")))))</x:f>
      </x:c>
    </x:row>
    <x:row r="882">
      <x:c r="D882" s="100" t="str">
        <x:f>IF(AND(A882="",B882=""),"",IF(A882="","CLIENT REQUIRED",IF(B882="","SERVICE REQUIRED",IF(COUNTIF(Clients!$A$5:$A$404,A882)=0,"CLIENT NOT FOUND",IF(COUNTIF(Services!$A$5:$A$104,B882)=0,"SERVICE NOT IN SERVICES","OK")))))</x:f>
      </x:c>
    </x:row>
    <x:row r="883">
      <x:c r="D883" s="100" t="str">
        <x:f>IF(AND(A883="",B883=""),"",IF(A883="","CLIENT REQUIRED",IF(B883="","SERVICE REQUIRED",IF(COUNTIF(Clients!$A$5:$A$404,A883)=0,"CLIENT NOT FOUND",IF(COUNTIF(Services!$A$5:$A$104,B883)=0,"SERVICE NOT IN SERVICES","OK")))))</x:f>
      </x:c>
    </x:row>
    <x:row r="884">
      <x:c r="D884" s="100" t="str">
        <x:f>IF(AND(A884="",B884=""),"",IF(A884="","CLIENT REQUIRED",IF(B884="","SERVICE REQUIRED",IF(COUNTIF(Clients!$A$5:$A$404,A884)=0,"CLIENT NOT FOUND",IF(COUNTIF(Services!$A$5:$A$104,B884)=0,"SERVICE NOT IN SERVICES","OK")))))</x:f>
      </x:c>
    </x:row>
    <x:row r="885">
      <x:c r="D885" s="100" t="str">
        <x:f>IF(AND(A885="",B885=""),"",IF(A885="","CLIENT REQUIRED",IF(B885="","SERVICE REQUIRED",IF(COUNTIF(Clients!$A$5:$A$404,A885)=0,"CLIENT NOT FOUND",IF(COUNTIF(Services!$A$5:$A$104,B885)=0,"SERVICE NOT IN SERVICES","OK")))))</x:f>
      </x:c>
    </x:row>
    <x:row r="886">
      <x:c r="D886" s="100" t="str">
        <x:f>IF(AND(A886="",B886=""),"",IF(A886="","CLIENT REQUIRED",IF(B886="","SERVICE REQUIRED",IF(COUNTIF(Clients!$A$5:$A$404,A886)=0,"CLIENT NOT FOUND",IF(COUNTIF(Services!$A$5:$A$104,B886)=0,"SERVICE NOT IN SERVICES","OK")))))</x:f>
      </x:c>
    </x:row>
    <x:row r="887">
      <x:c r="D887" s="100" t="str">
        <x:f>IF(AND(A887="",B887=""),"",IF(A887="","CLIENT REQUIRED",IF(B887="","SERVICE REQUIRED",IF(COUNTIF(Clients!$A$5:$A$404,A887)=0,"CLIENT NOT FOUND",IF(COUNTIF(Services!$A$5:$A$104,B887)=0,"SERVICE NOT IN SERVICES","OK")))))</x:f>
      </x:c>
    </x:row>
    <x:row r="888">
      <x:c r="D888" s="100" t="str">
        <x:f>IF(AND(A888="",B888=""),"",IF(A888="","CLIENT REQUIRED",IF(B888="","SERVICE REQUIRED",IF(COUNTIF(Clients!$A$5:$A$404,A888)=0,"CLIENT NOT FOUND",IF(COUNTIF(Services!$A$5:$A$104,B888)=0,"SERVICE NOT IN SERVICES","OK")))))</x:f>
      </x:c>
    </x:row>
    <x:row r="889">
      <x:c r="D889" s="100" t="str">
        <x:f>IF(AND(A889="",B889=""),"",IF(A889="","CLIENT REQUIRED",IF(B889="","SERVICE REQUIRED",IF(COUNTIF(Clients!$A$5:$A$404,A889)=0,"CLIENT NOT FOUND",IF(COUNTIF(Services!$A$5:$A$104,B889)=0,"SERVICE NOT IN SERVICES","OK")))))</x:f>
      </x:c>
    </x:row>
    <x:row r="890">
      <x:c r="D890" s="100" t="str">
        <x:f>IF(AND(A890="",B890=""),"",IF(A890="","CLIENT REQUIRED",IF(B890="","SERVICE REQUIRED",IF(COUNTIF(Clients!$A$5:$A$404,A890)=0,"CLIENT NOT FOUND",IF(COUNTIF(Services!$A$5:$A$104,B890)=0,"SERVICE NOT IN SERVICES","OK")))))</x:f>
      </x:c>
    </x:row>
    <x:row r="891">
      <x:c r="D891" s="100" t="str">
        <x:f>IF(AND(A891="",B891=""),"",IF(A891="","CLIENT REQUIRED",IF(B891="","SERVICE REQUIRED",IF(COUNTIF(Clients!$A$5:$A$404,A891)=0,"CLIENT NOT FOUND",IF(COUNTIF(Services!$A$5:$A$104,B891)=0,"SERVICE NOT IN SERVICES","OK")))))</x:f>
      </x:c>
    </x:row>
    <x:row r="892">
      <x:c r="D892" s="100" t="str">
        <x:f>IF(AND(A892="",B892=""),"",IF(A892="","CLIENT REQUIRED",IF(B892="","SERVICE REQUIRED",IF(COUNTIF(Clients!$A$5:$A$404,A892)=0,"CLIENT NOT FOUND",IF(COUNTIF(Services!$A$5:$A$104,B892)=0,"SERVICE NOT IN SERVICES","OK")))))</x:f>
      </x:c>
    </x:row>
    <x:row r="893">
      <x:c r="D893" s="100" t="str">
        <x:f>IF(AND(A893="",B893=""),"",IF(A893="","CLIENT REQUIRED",IF(B893="","SERVICE REQUIRED",IF(COUNTIF(Clients!$A$5:$A$404,A893)=0,"CLIENT NOT FOUND",IF(COUNTIF(Services!$A$5:$A$104,B893)=0,"SERVICE NOT IN SERVICES","OK")))))</x:f>
      </x:c>
    </x:row>
    <x:row r="894">
      <x:c r="D894" s="100" t="str">
        <x:f>IF(AND(A894="",B894=""),"",IF(A894="","CLIENT REQUIRED",IF(B894="","SERVICE REQUIRED",IF(COUNTIF(Clients!$A$5:$A$404,A894)=0,"CLIENT NOT FOUND",IF(COUNTIF(Services!$A$5:$A$104,B894)=0,"SERVICE NOT IN SERVICES","OK")))))</x:f>
      </x:c>
    </x:row>
    <x:row r="895">
      <x:c r="D895" s="100" t="str">
        <x:f>IF(AND(A895="",B895=""),"",IF(A895="","CLIENT REQUIRED",IF(B895="","SERVICE REQUIRED",IF(COUNTIF(Clients!$A$5:$A$404,A895)=0,"CLIENT NOT FOUND",IF(COUNTIF(Services!$A$5:$A$104,B895)=0,"SERVICE NOT IN SERVICES","OK")))))</x:f>
      </x:c>
    </x:row>
    <x:row r="896">
      <x:c r="D896" s="100" t="str">
        <x:f>IF(AND(A896="",B896=""),"",IF(A896="","CLIENT REQUIRED",IF(B896="","SERVICE REQUIRED",IF(COUNTIF(Clients!$A$5:$A$404,A896)=0,"CLIENT NOT FOUND",IF(COUNTIF(Services!$A$5:$A$104,B896)=0,"SERVICE NOT IN SERVICES","OK")))))</x:f>
      </x:c>
    </x:row>
    <x:row r="897">
      <x:c r="D897" s="100" t="str">
        <x:f>IF(AND(A897="",B897=""),"",IF(A897="","CLIENT REQUIRED",IF(B897="","SERVICE REQUIRED",IF(COUNTIF(Clients!$A$5:$A$404,A897)=0,"CLIENT NOT FOUND",IF(COUNTIF(Services!$A$5:$A$104,B897)=0,"SERVICE NOT IN SERVICES","OK")))))</x:f>
      </x:c>
    </x:row>
    <x:row r="898">
      <x:c r="D898" s="100" t="str">
        <x:f>IF(AND(A898="",B898=""),"",IF(A898="","CLIENT REQUIRED",IF(B898="","SERVICE REQUIRED",IF(COUNTIF(Clients!$A$5:$A$404,A898)=0,"CLIENT NOT FOUND",IF(COUNTIF(Services!$A$5:$A$104,B898)=0,"SERVICE NOT IN SERVICES","OK")))))</x:f>
      </x:c>
    </x:row>
    <x:row r="899">
      <x:c r="D899" s="100" t="str">
        <x:f>IF(AND(A899="",B899=""),"",IF(A899="","CLIENT REQUIRED",IF(B899="","SERVICE REQUIRED",IF(COUNTIF(Clients!$A$5:$A$404,A899)=0,"CLIENT NOT FOUND",IF(COUNTIF(Services!$A$5:$A$104,B899)=0,"SERVICE NOT IN SERVICES","OK")))))</x:f>
      </x:c>
    </x:row>
    <x:row r="900">
      <x:c r="D900" s="100" t="str">
        <x:f>IF(AND(A900="",B900=""),"",IF(A900="","CLIENT REQUIRED",IF(B900="","SERVICE REQUIRED",IF(COUNTIF(Clients!$A$5:$A$404,A900)=0,"CLIENT NOT FOUND",IF(COUNTIF(Services!$A$5:$A$104,B900)=0,"SERVICE NOT IN SERVICES","OK")))))</x:f>
      </x:c>
    </x:row>
    <x:row r="901">
      <x:c r="D901" s="100" t="str">
        <x:f>IF(AND(A901="",B901=""),"",IF(A901="","CLIENT REQUIRED",IF(B901="","SERVICE REQUIRED",IF(COUNTIF(Clients!$A$5:$A$404,A901)=0,"CLIENT NOT FOUND",IF(COUNTIF(Services!$A$5:$A$104,B901)=0,"SERVICE NOT IN SERVICES","OK")))))</x:f>
      </x:c>
    </x:row>
    <x:row r="902">
      <x:c r="D902" s="100" t="str">
        <x:f>IF(AND(A902="",B902=""),"",IF(A902="","CLIENT REQUIRED",IF(B902="","SERVICE REQUIRED",IF(COUNTIF(Clients!$A$5:$A$404,A902)=0,"CLIENT NOT FOUND",IF(COUNTIF(Services!$A$5:$A$104,B902)=0,"SERVICE NOT IN SERVICES","OK")))))</x:f>
      </x:c>
    </x:row>
    <x:row r="903">
      <x:c r="D903" s="100" t="str">
        <x:f>IF(AND(A903="",B903=""),"",IF(A903="","CLIENT REQUIRED",IF(B903="","SERVICE REQUIRED",IF(COUNTIF(Clients!$A$5:$A$404,A903)=0,"CLIENT NOT FOUND",IF(COUNTIF(Services!$A$5:$A$104,B903)=0,"SERVICE NOT IN SERVICES","OK")))))</x:f>
      </x:c>
    </x:row>
    <x:row r="904">
      <x:c r="D904" s="100" t="str">
        <x:f>IF(AND(A904="",B904=""),"",IF(A904="","CLIENT REQUIRED",IF(B904="","SERVICE REQUIRED",IF(COUNTIF(Clients!$A$5:$A$404,A904)=0,"CLIENT NOT FOUND",IF(COUNTIF(Services!$A$5:$A$104,B904)=0,"SERVICE NOT IN SERVICES","OK")))))</x:f>
      </x:c>
    </x:row>
    <x:row r="905">
      <x:c r="D905" s="100" t="str">
        <x:f>IF(AND(A905="",B905=""),"",IF(A905="","CLIENT REQUIRED",IF(B905="","SERVICE REQUIRED",IF(COUNTIF(Clients!$A$5:$A$404,A905)=0,"CLIENT NOT FOUND",IF(COUNTIF(Services!$A$5:$A$104,B905)=0,"SERVICE NOT IN SERVICES","OK")))))</x:f>
      </x:c>
    </x:row>
    <x:row r="906">
      <x:c r="D906" s="100" t="str">
        <x:f>IF(AND(A906="",B906=""),"",IF(A906="","CLIENT REQUIRED",IF(B906="","SERVICE REQUIRED",IF(COUNTIF(Clients!$A$5:$A$404,A906)=0,"CLIENT NOT FOUND",IF(COUNTIF(Services!$A$5:$A$104,B906)=0,"SERVICE NOT IN SERVICES","OK")))))</x:f>
      </x:c>
    </x:row>
    <x:row r="907">
      <x:c r="D907" s="100" t="str">
        <x:f>IF(AND(A907="",B907=""),"",IF(A907="","CLIENT REQUIRED",IF(B907="","SERVICE REQUIRED",IF(COUNTIF(Clients!$A$5:$A$404,A907)=0,"CLIENT NOT FOUND",IF(COUNTIF(Services!$A$5:$A$104,B907)=0,"SERVICE NOT IN SERVICES","OK")))))</x:f>
      </x:c>
    </x:row>
    <x:row r="908">
      <x:c r="D908" s="100" t="str">
        <x:f>IF(AND(A908="",B908=""),"",IF(A908="","CLIENT REQUIRED",IF(B908="","SERVICE REQUIRED",IF(COUNTIF(Clients!$A$5:$A$404,A908)=0,"CLIENT NOT FOUND",IF(COUNTIF(Services!$A$5:$A$104,B908)=0,"SERVICE NOT IN SERVICES","OK")))))</x:f>
      </x:c>
    </x:row>
    <x:row r="909">
      <x:c r="D909" s="100" t="str">
        <x:f>IF(AND(A909="",B909=""),"",IF(A909="","CLIENT REQUIRED",IF(B909="","SERVICE REQUIRED",IF(COUNTIF(Clients!$A$5:$A$404,A909)=0,"CLIENT NOT FOUND",IF(COUNTIF(Services!$A$5:$A$104,B909)=0,"SERVICE NOT IN SERVICES","OK")))))</x:f>
      </x:c>
    </x:row>
    <x:row r="910">
      <x:c r="D910" s="100" t="str">
        <x:f>IF(AND(A910="",B910=""),"",IF(A910="","CLIENT REQUIRED",IF(B910="","SERVICE REQUIRED",IF(COUNTIF(Clients!$A$5:$A$404,A910)=0,"CLIENT NOT FOUND",IF(COUNTIF(Services!$A$5:$A$104,B910)=0,"SERVICE NOT IN SERVICES","OK")))))</x:f>
      </x:c>
    </x:row>
    <x:row r="911">
      <x:c r="D911" s="100" t="str">
        <x:f>IF(AND(A911="",B911=""),"",IF(A911="","CLIENT REQUIRED",IF(B911="","SERVICE REQUIRED",IF(COUNTIF(Clients!$A$5:$A$404,A911)=0,"CLIENT NOT FOUND",IF(COUNTIF(Services!$A$5:$A$104,B911)=0,"SERVICE NOT IN SERVICES","OK")))))</x:f>
      </x:c>
    </x:row>
    <x:row r="912">
      <x:c r="D912" s="100" t="str">
        <x:f>IF(AND(A912="",B912=""),"",IF(A912="","CLIENT REQUIRED",IF(B912="","SERVICE REQUIRED",IF(COUNTIF(Clients!$A$5:$A$404,A912)=0,"CLIENT NOT FOUND",IF(COUNTIF(Services!$A$5:$A$104,B912)=0,"SERVICE NOT IN SERVICES","OK")))))</x:f>
      </x:c>
    </x:row>
    <x:row r="913">
      <x:c r="D913" s="100" t="str">
        <x:f>IF(AND(A913="",B913=""),"",IF(A913="","CLIENT REQUIRED",IF(B913="","SERVICE REQUIRED",IF(COUNTIF(Clients!$A$5:$A$404,A913)=0,"CLIENT NOT FOUND",IF(COUNTIF(Services!$A$5:$A$104,B913)=0,"SERVICE NOT IN SERVICES","OK")))))</x:f>
      </x:c>
    </x:row>
    <x:row r="914">
      <x:c r="D914" s="100" t="str">
        <x:f>IF(AND(A914="",B914=""),"",IF(A914="","CLIENT REQUIRED",IF(B914="","SERVICE REQUIRED",IF(COUNTIF(Clients!$A$5:$A$404,A914)=0,"CLIENT NOT FOUND",IF(COUNTIF(Services!$A$5:$A$104,B914)=0,"SERVICE NOT IN SERVICES","OK")))))</x:f>
      </x:c>
    </x:row>
    <x:row r="915">
      <x:c r="D915" s="100" t="str">
        <x:f>IF(AND(A915="",B915=""),"",IF(A915="","CLIENT REQUIRED",IF(B915="","SERVICE REQUIRED",IF(COUNTIF(Clients!$A$5:$A$404,A915)=0,"CLIENT NOT FOUND",IF(COUNTIF(Services!$A$5:$A$104,B915)=0,"SERVICE NOT IN SERVICES","OK")))))</x:f>
      </x:c>
    </x:row>
    <x:row r="916">
      <x:c r="D916" s="100" t="str">
        <x:f>IF(AND(A916="",B916=""),"",IF(A916="","CLIENT REQUIRED",IF(B916="","SERVICE REQUIRED",IF(COUNTIF(Clients!$A$5:$A$404,A916)=0,"CLIENT NOT FOUND",IF(COUNTIF(Services!$A$5:$A$104,B916)=0,"SERVICE NOT IN SERVICES","OK")))))</x:f>
      </x:c>
    </x:row>
    <x:row r="917">
      <x:c r="D917" s="100" t="str">
        <x:f>IF(AND(A917="",B917=""),"",IF(A917="","CLIENT REQUIRED",IF(B917="","SERVICE REQUIRED",IF(COUNTIF(Clients!$A$5:$A$404,A917)=0,"CLIENT NOT FOUND",IF(COUNTIF(Services!$A$5:$A$104,B917)=0,"SERVICE NOT IN SERVICES","OK")))))</x:f>
      </x:c>
    </x:row>
    <x:row r="918">
      <x:c r="D918" s="100" t="str">
        <x:f>IF(AND(A918="",B918=""),"",IF(A918="","CLIENT REQUIRED",IF(B918="","SERVICE REQUIRED",IF(COUNTIF(Clients!$A$5:$A$404,A918)=0,"CLIENT NOT FOUND",IF(COUNTIF(Services!$A$5:$A$104,B918)=0,"SERVICE NOT IN SERVICES","OK")))))</x:f>
      </x:c>
    </x:row>
    <x:row r="919">
      <x:c r="D919" s="100" t="str">
        <x:f>IF(AND(A919="",B919=""),"",IF(A919="","CLIENT REQUIRED",IF(B919="","SERVICE REQUIRED",IF(COUNTIF(Clients!$A$5:$A$404,A919)=0,"CLIENT NOT FOUND",IF(COUNTIF(Services!$A$5:$A$104,B919)=0,"SERVICE NOT IN SERVICES","OK")))))</x:f>
      </x:c>
    </x:row>
    <x:row r="920">
      <x:c r="D920" s="100" t="str">
        <x:f>IF(AND(A920="",B920=""),"",IF(A920="","CLIENT REQUIRED",IF(B920="","SERVICE REQUIRED",IF(COUNTIF(Clients!$A$5:$A$404,A920)=0,"CLIENT NOT FOUND",IF(COUNTIF(Services!$A$5:$A$104,B920)=0,"SERVICE NOT IN SERVICES","OK")))))</x:f>
      </x:c>
    </x:row>
    <x:row r="921">
      <x:c r="D921" s="100" t="str">
        <x:f>IF(AND(A921="",B921=""),"",IF(A921="","CLIENT REQUIRED",IF(B921="","SERVICE REQUIRED",IF(COUNTIF(Clients!$A$5:$A$404,A921)=0,"CLIENT NOT FOUND",IF(COUNTIF(Services!$A$5:$A$104,B921)=0,"SERVICE NOT IN SERVICES","OK")))))</x:f>
      </x:c>
    </x:row>
    <x:row r="922">
      <x:c r="D922" s="100" t="str">
        <x:f>IF(AND(A922="",B922=""),"",IF(A922="","CLIENT REQUIRED",IF(B922="","SERVICE REQUIRED",IF(COUNTIF(Clients!$A$5:$A$404,A922)=0,"CLIENT NOT FOUND",IF(COUNTIF(Services!$A$5:$A$104,B922)=0,"SERVICE NOT IN SERVICES","OK")))))</x:f>
      </x:c>
    </x:row>
    <x:row r="923">
      <x:c r="D923" s="100" t="str">
        <x:f>IF(AND(A923="",B923=""),"",IF(A923="","CLIENT REQUIRED",IF(B923="","SERVICE REQUIRED",IF(COUNTIF(Clients!$A$5:$A$404,A923)=0,"CLIENT NOT FOUND",IF(COUNTIF(Services!$A$5:$A$104,B923)=0,"SERVICE NOT IN SERVICES","OK")))))</x:f>
      </x:c>
    </x:row>
    <x:row r="924">
      <x:c r="D924" s="100" t="str">
        <x:f>IF(AND(A924="",B924=""),"",IF(A924="","CLIENT REQUIRED",IF(B924="","SERVICE REQUIRED",IF(COUNTIF(Clients!$A$5:$A$404,A924)=0,"CLIENT NOT FOUND",IF(COUNTIF(Services!$A$5:$A$104,B924)=0,"SERVICE NOT IN SERVICES","OK")))))</x:f>
      </x:c>
    </x:row>
    <x:row r="925">
      <x:c r="D925" s="100" t="str">
        <x:f>IF(AND(A925="",B925=""),"",IF(A925="","CLIENT REQUIRED",IF(B925="","SERVICE REQUIRED",IF(COUNTIF(Clients!$A$5:$A$404,A925)=0,"CLIENT NOT FOUND",IF(COUNTIF(Services!$A$5:$A$104,B925)=0,"SERVICE NOT IN SERVICES","OK")))))</x:f>
      </x:c>
    </x:row>
    <x:row r="926">
      <x:c r="D926" s="100" t="str">
        <x:f>IF(AND(A926="",B926=""),"",IF(A926="","CLIENT REQUIRED",IF(B926="","SERVICE REQUIRED",IF(COUNTIF(Clients!$A$5:$A$404,A926)=0,"CLIENT NOT FOUND",IF(COUNTIF(Services!$A$5:$A$104,B926)=0,"SERVICE NOT IN SERVICES","OK")))))</x:f>
      </x:c>
    </x:row>
    <x:row r="927">
      <x:c r="D927" s="100" t="str">
        <x:f>IF(AND(A927="",B927=""),"",IF(A927="","CLIENT REQUIRED",IF(B927="","SERVICE REQUIRED",IF(COUNTIF(Clients!$A$5:$A$404,A927)=0,"CLIENT NOT FOUND",IF(COUNTIF(Services!$A$5:$A$104,B927)=0,"SERVICE NOT IN SERVICES","OK")))))</x:f>
      </x:c>
    </x:row>
    <x:row r="928">
      <x:c r="D928" s="100" t="str">
        <x:f>IF(AND(A928="",B928=""),"",IF(A928="","CLIENT REQUIRED",IF(B928="","SERVICE REQUIRED",IF(COUNTIF(Clients!$A$5:$A$404,A928)=0,"CLIENT NOT FOUND",IF(COUNTIF(Services!$A$5:$A$104,B928)=0,"SERVICE NOT IN SERVICES","OK")))))</x:f>
      </x:c>
    </x:row>
    <x:row r="929">
      <x:c r="D929" s="100" t="str">
        <x:f>IF(AND(A929="",B929=""),"",IF(A929="","CLIENT REQUIRED",IF(B929="","SERVICE REQUIRED",IF(COUNTIF(Clients!$A$5:$A$404,A929)=0,"CLIENT NOT FOUND",IF(COUNTIF(Services!$A$5:$A$104,B929)=0,"SERVICE NOT IN SERVICES","OK")))))</x:f>
      </x:c>
    </x:row>
    <x:row r="930">
      <x:c r="D930" s="100" t="str">
        <x:f>IF(AND(A930="",B930=""),"",IF(A930="","CLIENT REQUIRED",IF(B930="","SERVICE REQUIRED",IF(COUNTIF(Clients!$A$5:$A$404,A930)=0,"CLIENT NOT FOUND",IF(COUNTIF(Services!$A$5:$A$104,B930)=0,"SERVICE NOT IN SERVICES","OK")))))</x:f>
      </x:c>
    </x:row>
    <x:row r="931">
      <x:c r="D931" s="100" t="str">
        <x:f>IF(AND(A931="",B931=""),"",IF(A931="","CLIENT REQUIRED",IF(B931="","SERVICE REQUIRED",IF(COUNTIF(Clients!$A$5:$A$404,A931)=0,"CLIENT NOT FOUND",IF(COUNTIF(Services!$A$5:$A$104,B931)=0,"SERVICE NOT IN SERVICES","OK")))))</x:f>
      </x:c>
    </x:row>
    <x:row r="932">
      <x:c r="D932" s="100" t="str">
        <x:f>IF(AND(A932="",B932=""),"",IF(A932="","CLIENT REQUIRED",IF(B932="","SERVICE REQUIRED",IF(COUNTIF(Clients!$A$5:$A$404,A932)=0,"CLIENT NOT FOUND",IF(COUNTIF(Services!$A$5:$A$104,B932)=0,"SERVICE NOT IN SERVICES","OK")))))</x:f>
      </x:c>
    </x:row>
    <x:row r="933">
      <x:c r="D933" s="100" t="str">
        <x:f>IF(AND(A933="",B933=""),"",IF(A933="","CLIENT REQUIRED",IF(B933="","SERVICE REQUIRED",IF(COUNTIF(Clients!$A$5:$A$404,A933)=0,"CLIENT NOT FOUND",IF(COUNTIF(Services!$A$5:$A$104,B933)=0,"SERVICE NOT IN SERVICES","OK")))))</x:f>
      </x:c>
    </x:row>
    <x:row r="934">
      <x:c r="D934" s="100" t="str">
        <x:f>IF(AND(A934="",B934=""),"",IF(A934="","CLIENT REQUIRED",IF(B934="","SERVICE REQUIRED",IF(COUNTIF(Clients!$A$5:$A$404,A934)=0,"CLIENT NOT FOUND",IF(COUNTIF(Services!$A$5:$A$104,B934)=0,"SERVICE NOT IN SERVICES","OK")))))</x:f>
      </x:c>
    </x:row>
    <x:row r="935">
      <x:c r="D935" s="100" t="str">
        <x:f>IF(AND(A935="",B935=""),"",IF(A935="","CLIENT REQUIRED",IF(B935="","SERVICE REQUIRED",IF(COUNTIF(Clients!$A$5:$A$404,A935)=0,"CLIENT NOT FOUND",IF(COUNTIF(Services!$A$5:$A$104,B935)=0,"SERVICE NOT IN SERVICES","OK")))))</x:f>
      </x:c>
    </x:row>
    <x:row r="936">
      <x:c r="D936" s="100" t="str">
        <x:f>IF(AND(A936="",B936=""),"",IF(A936="","CLIENT REQUIRED",IF(B936="","SERVICE REQUIRED",IF(COUNTIF(Clients!$A$5:$A$404,A936)=0,"CLIENT NOT FOUND",IF(COUNTIF(Services!$A$5:$A$104,B936)=0,"SERVICE NOT IN SERVICES","OK")))))</x:f>
      </x:c>
    </x:row>
    <x:row r="937">
      <x:c r="D937" s="100" t="str">
        <x:f>IF(AND(A937="",B937=""),"",IF(A937="","CLIENT REQUIRED",IF(B937="","SERVICE REQUIRED",IF(COUNTIF(Clients!$A$5:$A$404,A937)=0,"CLIENT NOT FOUND",IF(COUNTIF(Services!$A$5:$A$104,B937)=0,"SERVICE NOT IN SERVICES","OK")))))</x:f>
      </x:c>
    </x:row>
    <x:row r="938">
      <x:c r="D938" s="100" t="str">
        <x:f>IF(AND(A938="",B938=""),"",IF(A938="","CLIENT REQUIRED",IF(B938="","SERVICE REQUIRED",IF(COUNTIF(Clients!$A$5:$A$404,A938)=0,"CLIENT NOT FOUND",IF(COUNTIF(Services!$A$5:$A$104,B938)=0,"SERVICE NOT IN SERVICES","OK")))))</x:f>
      </x:c>
    </x:row>
    <x:row r="939">
      <x:c r="D939" s="100" t="str">
        <x:f>IF(AND(A939="",B939=""),"",IF(A939="","CLIENT REQUIRED",IF(B939="","SERVICE REQUIRED",IF(COUNTIF(Clients!$A$5:$A$404,A939)=0,"CLIENT NOT FOUND",IF(COUNTIF(Services!$A$5:$A$104,B939)=0,"SERVICE NOT IN SERVICES","OK")))))</x:f>
      </x:c>
    </x:row>
    <x:row r="940">
      <x:c r="D940" s="100" t="str">
        <x:f>IF(AND(A940="",B940=""),"",IF(A940="","CLIENT REQUIRED",IF(B940="","SERVICE REQUIRED",IF(COUNTIF(Clients!$A$5:$A$404,A940)=0,"CLIENT NOT FOUND",IF(COUNTIF(Services!$A$5:$A$104,B940)=0,"SERVICE NOT IN SERVICES","OK")))))</x:f>
      </x:c>
    </x:row>
    <x:row r="941">
      <x:c r="D941" s="100" t="str">
        <x:f>IF(AND(A941="",B941=""),"",IF(A941="","CLIENT REQUIRED",IF(B941="","SERVICE REQUIRED",IF(COUNTIF(Clients!$A$5:$A$404,A941)=0,"CLIENT NOT FOUND",IF(COUNTIF(Services!$A$5:$A$104,B941)=0,"SERVICE NOT IN SERVICES","OK")))))</x:f>
      </x:c>
    </x:row>
    <x:row r="942">
      <x:c r="D942" s="100" t="str">
        <x:f>IF(AND(A942="",B942=""),"",IF(A942="","CLIENT REQUIRED",IF(B942="","SERVICE REQUIRED",IF(COUNTIF(Clients!$A$5:$A$404,A942)=0,"CLIENT NOT FOUND",IF(COUNTIF(Services!$A$5:$A$104,B942)=0,"SERVICE NOT IN SERVICES","OK")))))</x:f>
      </x:c>
    </x:row>
    <x:row r="943">
      <x:c r="D943" s="100" t="str">
        <x:f>IF(AND(A943="",B943=""),"",IF(A943="","CLIENT REQUIRED",IF(B943="","SERVICE REQUIRED",IF(COUNTIF(Clients!$A$5:$A$404,A943)=0,"CLIENT NOT FOUND",IF(COUNTIF(Services!$A$5:$A$104,B943)=0,"SERVICE NOT IN SERVICES","OK")))))</x:f>
      </x:c>
    </x:row>
    <x:row r="944">
      <x:c r="D944" s="100" t="str">
        <x:f>IF(AND(A944="",B944=""),"",IF(A944="","CLIENT REQUIRED",IF(B944="","SERVICE REQUIRED",IF(COUNTIF(Clients!$A$5:$A$404,A944)=0,"CLIENT NOT FOUND",IF(COUNTIF(Services!$A$5:$A$104,B944)=0,"SERVICE NOT IN SERVICES","OK")))))</x:f>
      </x:c>
    </x:row>
    <x:row r="945">
      <x:c r="D945" s="100" t="str">
        <x:f>IF(AND(A945="",B945=""),"",IF(A945="","CLIENT REQUIRED",IF(B945="","SERVICE REQUIRED",IF(COUNTIF(Clients!$A$5:$A$404,A945)=0,"CLIENT NOT FOUND",IF(COUNTIF(Services!$A$5:$A$104,B945)=0,"SERVICE NOT IN SERVICES","OK")))))</x:f>
      </x:c>
    </x:row>
    <x:row r="946">
      <x:c r="D946" s="100" t="str">
        <x:f>IF(AND(A946="",B946=""),"",IF(A946="","CLIENT REQUIRED",IF(B946="","SERVICE REQUIRED",IF(COUNTIF(Clients!$A$5:$A$404,A946)=0,"CLIENT NOT FOUND",IF(COUNTIF(Services!$A$5:$A$104,B946)=0,"SERVICE NOT IN SERVICES","OK")))))</x:f>
      </x:c>
    </x:row>
    <x:row r="947">
      <x:c r="D947" s="100" t="str">
        <x:f>IF(AND(A947="",B947=""),"",IF(A947="","CLIENT REQUIRED",IF(B947="","SERVICE REQUIRED",IF(COUNTIF(Clients!$A$5:$A$404,A947)=0,"CLIENT NOT FOUND",IF(COUNTIF(Services!$A$5:$A$104,B947)=0,"SERVICE NOT IN SERVICES","OK")))))</x:f>
      </x:c>
    </x:row>
    <x:row r="948">
      <x:c r="D948" s="100" t="str">
        <x:f>IF(AND(A948="",B948=""),"",IF(A948="","CLIENT REQUIRED",IF(B948="","SERVICE REQUIRED",IF(COUNTIF(Clients!$A$5:$A$404,A948)=0,"CLIENT NOT FOUND",IF(COUNTIF(Services!$A$5:$A$104,B948)=0,"SERVICE NOT IN SERVICES","OK")))))</x:f>
      </x:c>
    </x:row>
    <x:row r="949">
      <x:c r="D949" s="100" t="str">
        <x:f>IF(AND(A949="",B949=""),"",IF(A949="","CLIENT REQUIRED",IF(B949="","SERVICE REQUIRED",IF(COUNTIF(Clients!$A$5:$A$404,A949)=0,"CLIENT NOT FOUND",IF(COUNTIF(Services!$A$5:$A$104,B949)=0,"SERVICE NOT IN SERVICES","OK")))))</x:f>
      </x:c>
    </x:row>
    <x:row r="950">
      <x:c r="D950" s="100" t="str">
        <x:f>IF(AND(A950="",B950=""),"",IF(A950="","CLIENT REQUIRED",IF(B950="","SERVICE REQUIRED",IF(COUNTIF(Clients!$A$5:$A$404,A950)=0,"CLIENT NOT FOUND",IF(COUNTIF(Services!$A$5:$A$104,B950)=0,"SERVICE NOT IN SERVICES","OK")))))</x:f>
      </x:c>
    </x:row>
    <x:row r="951">
      <x:c r="D951" s="100" t="str">
        <x:f>IF(AND(A951="",B951=""),"",IF(A951="","CLIENT REQUIRED",IF(B951="","SERVICE REQUIRED",IF(COUNTIF(Clients!$A$5:$A$404,A951)=0,"CLIENT NOT FOUND",IF(COUNTIF(Services!$A$5:$A$104,B951)=0,"SERVICE NOT IN SERVICES","OK")))))</x:f>
      </x:c>
    </x:row>
    <x:row r="952">
      <x:c r="D952" s="100" t="str">
        <x:f>IF(AND(A952="",B952=""),"",IF(A952="","CLIENT REQUIRED",IF(B952="","SERVICE REQUIRED",IF(COUNTIF(Clients!$A$5:$A$404,A952)=0,"CLIENT NOT FOUND",IF(COUNTIF(Services!$A$5:$A$104,B952)=0,"SERVICE NOT IN SERVICES","OK")))))</x:f>
      </x:c>
    </x:row>
    <x:row r="953">
      <x:c r="D953" s="100" t="str">
        <x:f>IF(AND(A953="",B953=""),"",IF(A953="","CLIENT REQUIRED",IF(B953="","SERVICE REQUIRED",IF(COUNTIF(Clients!$A$5:$A$404,A953)=0,"CLIENT NOT FOUND",IF(COUNTIF(Services!$A$5:$A$104,B953)=0,"SERVICE NOT IN SERVICES","OK")))))</x:f>
      </x:c>
    </x:row>
    <x:row r="954">
      <x:c r="D954" s="100" t="str">
        <x:f>IF(AND(A954="",B954=""),"",IF(A954="","CLIENT REQUIRED",IF(B954="","SERVICE REQUIRED",IF(COUNTIF(Clients!$A$5:$A$404,A954)=0,"CLIENT NOT FOUND",IF(COUNTIF(Services!$A$5:$A$104,B954)=0,"SERVICE NOT IN SERVICES","OK")))))</x:f>
      </x:c>
    </x:row>
    <x:row r="955">
      <x:c r="D955" s="100" t="str">
        <x:f>IF(AND(A955="",B955=""),"",IF(A955="","CLIENT REQUIRED",IF(B955="","SERVICE REQUIRED",IF(COUNTIF(Clients!$A$5:$A$404,A955)=0,"CLIENT NOT FOUND",IF(COUNTIF(Services!$A$5:$A$104,B955)=0,"SERVICE NOT IN SERVICES","OK")))))</x:f>
      </x:c>
    </x:row>
    <x:row r="956">
      <x:c r="D956" s="100" t="str">
        <x:f>IF(AND(A956="",B956=""),"",IF(A956="","CLIENT REQUIRED",IF(B956="","SERVICE REQUIRED",IF(COUNTIF(Clients!$A$5:$A$404,A956)=0,"CLIENT NOT FOUND",IF(COUNTIF(Services!$A$5:$A$104,B956)=0,"SERVICE NOT IN SERVICES","OK")))))</x:f>
      </x:c>
    </x:row>
    <x:row r="957">
      <x:c r="D957" s="100" t="str">
        <x:f>IF(AND(A957="",B957=""),"",IF(A957="","CLIENT REQUIRED",IF(B957="","SERVICE REQUIRED",IF(COUNTIF(Clients!$A$5:$A$404,A957)=0,"CLIENT NOT FOUND",IF(COUNTIF(Services!$A$5:$A$104,B957)=0,"SERVICE NOT IN SERVICES","OK")))))</x:f>
      </x:c>
    </x:row>
    <x:row r="958">
      <x:c r="D958" s="100" t="str">
        <x:f>IF(AND(A958="",B958=""),"",IF(A958="","CLIENT REQUIRED",IF(B958="","SERVICE REQUIRED",IF(COUNTIF(Clients!$A$5:$A$404,A958)=0,"CLIENT NOT FOUND",IF(COUNTIF(Services!$A$5:$A$104,B958)=0,"SERVICE NOT IN SERVICES","OK")))))</x:f>
      </x:c>
    </x:row>
    <x:row r="959">
      <x:c r="D959" s="100" t="str">
        <x:f>IF(AND(A959="",B959=""),"",IF(A959="","CLIENT REQUIRED",IF(B959="","SERVICE REQUIRED",IF(COUNTIF(Clients!$A$5:$A$404,A959)=0,"CLIENT NOT FOUND",IF(COUNTIF(Services!$A$5:$A$104,B959)=0,"SERVICE NOT IN SERVICES","OK")))))</x:f>
      </x:c>
    </x:row>
    <x:row r="960">
      <x:c r="D960" s="100" t="str">
        <x:f>IF(AND(A960="",B960=""),"",IF(A960="","CLIENT REQUIRED",IF(B960="","SERVICE REQUIRED",IF(COUNTIF(Clients!$A$5:$A$404,A960)=0,"CLIENT NOT FOUND",IF(COUNTIF(Services!$A$5:$A$104,B960)=0,"SERVICE NOT IN SERVICES","OK")))))</x:f>
      </x:c>
    </x:row>
    <x:row r="961">
      <x:c r="D961" s="100" t="str">
        <x:f>IF(AND(A961="",B961=""),"",IF(A961="","CLIENT REQUIRED",IF(B961="","SERVICE REQUIRED",IF(COUNTIF(Clients!$A$5:$A$404,A961)=0,"CLIENT NOT FOUND",IF(COUNTIF(Services!$A$5:$A$104,B961)=0,"SERVICE NOT IN SERVICES","OK")))))</x:f>
      </x:c>
    </x:row>
    <x:row r="962">
      <x:c r="D962" s="100" t="str">
        <x:f>IF(AND(A962="",B962=""),"",IF(A962="","CLIENT REQUIRED",IF(B962="","SERVICE REQUIRED",IF(COUNTIF(Clients!$A$5:$A$404,A962)=0,"CLIENT NOT FOUND",IF(COUNTIF(Services!$A$5:$A$104,B962)=0,"SERVICE NOT IN SERVICES","OK")))))</x:f>
      </x:c>
    </x:row>
    <x:row r="963">
      <x:c r="D963" s="100" t="str">
        <x:f>IF(AND(A963="",B963=""),"",IF(A963="","CLIENT REQUIRED",IF(B963="","SERVICE REQUIRED",IF(COUNTIF(Clients!$A$5:$A$404,A963)=0,"CLIENT NOT FOUND",IF(COUNTIF(Services!$A$5:$A$104,B963)=0,"SERVICE NOT IN SERVICES","OK")))))</x:f>
      </x:c>
    </x:row>
    <x:row r="964">
      <x:c r="D964" s="100" t="str">
        <x:f>IF(AND(A964="",B964=""),"",IF(A964="","CLIENT REQUIRED",IF(B964="","SERVICE REQUIRED",IF(COUNTIF(Clients!$A$5:$A$404,A964)=0,"CLIENT NOT FOUND",IF(COUNTIF(Services!$A$5:$A$104,B964)=0,"SERVICE NOT IN SERVICES","OK")))))</x:f>
      </x:c>
    </x:row>
    <x:row r="965">
      <x:c r="D965" s="100" t="str">
        <x:f>IF(AND(A965="",B965=""),"",IF(A965="","CLIENT REQUIRED",IF(B965="","SERVICE REQUIRED",IF(COUNTIF(Clients!$A$5:$A$404,A965)=0,"CLIENT NOT FOUND",IF(COUNTIF(Services!$A$5:$A$104,B965)=0,"SERVICE NOT IN SERVICES","OK")))))</x:f>
      </x:c>
    </x:row>
    <x:row r="966">
      <x:c r="D966" s="100" t="str">
        <x:f>IF(AND(A966="",B966=""),"",IF(A966="","CLIENT REQUIRED",IF(B966="","SERVICE REQUIRED",IF(COUNTIF(Clients!$A$5:$A$404,A966)=0,"CLIENT NOT FOUND",IF(COUNTIF(Services!$A$5:$A$104,B966)=0,"SERVICE NOT IN SERVICES","OK")))))</x:f>
      </x:c>
    </x:row>
    <x:row r="967">
      <x:c r="D967" s="100" t="str">
        <x:f>IF(AND(A967="",B967=""),"",IF(A967="","CLIENT REQUIRED",IF(B967="","SERVICE REQUIRED",IF(COUNTIF(Clients!$A$5:$A$404,A967)=0,"CLIENT NOT FOUND",IF(COUNTIF(Services!$A$5:$A$104,B967)=0,"SERVICE NOT IN SERVICES","OK")))))</x:f>
      </x:c>
    </x:row>
    <x:row r="968">
      <x:c r="D968" s="100" t="str">
        <x:f>IF(AND(A968="",B968=""),"",IF(A968="","CLIENT REQUIRED",IF(B968="","SERVICE REQUIRED",IF(COUNTIF(Clients!$A$5:$A$404,A968)=0,"CLIENT NOT FOUND",IF(COUNTIF(Services!$A$5:$A$104,B968)=0,"SERVICE NOT IN SERVICES","OK")))))</x:f>
      </x:c>
    </x:row>
    <x:row r="969">
      <x:c r="D969" s="100" t="str">
        <x:f>IF(AND(A969="",B969=""),"",IF(A969="","CLIENT REQUIRED",IF(B969="","SERVICE REQUIRED",IF(COUNTIF(Clients!$A$5:$A$404,A969)=0,"CLIENT NOT FOUND",IF(COUNTIF(Services!$A$5:$A$104,B969)=0,"SERVICE NOT IN SERVICES","OK")))))</x:f>
      </x:c>
    </x:row>
    <x:row r="970">
      <x:c r="D970" s="100" t="str">
        <x:f>IF(AND(A970="",B970=""),"",IF(A970="","CLIENT REQUIRED",IF(B970="","SERVICE REQUIRED",IF(COUNTIF(Clients!$A$5:$A$404,A970)=0,"CLIENT NOT FOUND",IF(COUNTIF(Services!$A$5:$A$104,B970)=0,"SERVICE NOT IN SERVICES","OK")))))</x:f>
      </x:c>
    </x:row>
    <x:row r="971">
      <x:c r="D971" s="100" t="str">
        <x:f>IF(AND(A971="",B971=""),"",IF(A971="","CLIENT REQUIRED",IF(B971="","SERVICE REQUIRED",IF(COUNTIF(Clients!$A$5:$A$404,A971)=0,"CLIENT NOT FOUND",IF(COUNTIF(Services!$A$5:$A$104,B971)=0,"SERVICE NOT IN SERVICES","OK")))))</x:f>
      </x:c>
    </x:row>
    <x:row r="972">
      <x:c r="D972" s="100" t="str">
        <x:f>IF(AND(A972="",B972=""),"",IF(A972="","CLIENT REQUIRED",IF(B972="","SERVICE REQUIRED",IF(COUNTIF(Clients!$A$5:$A$404,A972)=0,"CLIENT NOT FOUND",IF(COUNTIF(Services!$A$5:$A$104,B972)=0,"SERVICE NOT IN SERVICES","OK")))))</x:f>
      </x:c>
    </x:row>
    <x:row r="973">
      <x:c r="D973" s="100" t="str">
        <x:f>IF(AND(A973="",B973=""),"",IF(A973="","CLIENT REQUIRED",IF(B973="","SERVICE REQUIRED",IF(COUNTIF(Clients!$A$5:$A$404,A973)=0,"CLIENT NOT FOUND",IF(COUNTIF(Services!$A$5:$A$104,B973)=0,"SERVICE NOT IN SERVICES","OK")))))</x:f>
      </x:c>
    </x:row>
    <x:row r="974">
      <x:c r="D974" s="100" t="str">
        <x:f>IF(AND(A974="",B974=""),"",IF(A974="","CLIENT REQUIRED",IF(B974="","SERVICE REQUIRED",IF(COUNTIF(Clients!$A$5:$A$404,A974)=0,"CLIENT NOT FOUND",IF(COUNTIF(Services!$A$5:$A$104,B974)=0,"SERVICE NOT IN SERVICES","OK")))))</x:f>
      </x:c>
    </x:row>
    <x:row r="975">
      <x:c r="D975" s="100" t="str">
        <x:f>IF(AND(A975="",B975=""),"",IF(A975="","CLIENT REQUIRED",IF(B975="","SERVICE REQUIRED",IF(COUNTIF(Clients!$A$5:$A$404,A975)=0,"CLIENT NOT FOUND",IF(COUNTIF(Services!$A$5:$A$104,B975)=0,"SERVICE NOT IN SERVICES","OK")))))</x:f>
      </x:c>
    </x:row>
    <x:row r="976">
      <x:c r="D976" s="100" t="str">
        <x:f>IF(AND(A976="",B976=""),"",IF(A976="","CLIENT REQUIRED",IF(B976="","SERVICE REQUIRED",IF(COUNTIF(Clients!$A$5:$A$404,A976)=0,"CLIENT NOT FOUND",IF(COUNTIF(Services!$A$5:$A$104,B976)=0,"SERVICE NOT IN SERVICES","OK")))))</x:f>
      </x:c>
    </x:row>
    <x:row r="977">
      <x:c r="D977" s="100" t="str">
        <x:f>IF(AND(A977="",B977=""),"",IF(A977="","CLIENT REQUIRED",IF(B977="","SERVICE REQUIRED",IF(COUNTIF(Clients!$A$5:$A$404,A977)=0,"CLIENT NOT FOUND",IF(COUNTIF(Services!$A$5:$A$104,B977)=0,"SERVICE NOT IN SERVICES","OK")))))</x:f>
      </x:c>
    </x:row>
    <x:row r="978">
      <x:c r="D978" s="100" t="str">
        <x:f>IF(AND(A978="",B978=""),"",IF(A978="","CLIENT REQUIRED",IF(B978="","SERVICE REQUIRED",IF(COUNTIF(Clients!$A$5:$A$404,A978)=0,"CLIENT NOT FOUND",IF(COUNTIF(Services!$A$5:$A$104,B978)=0,"SERVICE NOT IN SERVICES","OK")))))</x:f>
      </x:c>
    </x:row>
    <x:row r="979">
      <x:c r="D979" s="100" t="str">
        <x:f>IF(AND(A979="",B979=""),"",IF(A979="","CLIENT REQUIRED",IF(B979="","SERVICE REQUIRED",IF(COUNTIF(Clients!$A$5:$A$404,A979)=0,"CLIENT NOT FOUND",IF(COUNTIF(Services!$A$5:$A$104,B979)=0,"SERVICE NOT IN SERVICES","OK")))))</x:f>
      </x:c>
    </x:row>
    <x:row r="980">
      <x:c r="D980" s="100" t="str">
        <x:f>IF(AND(A980="",B980=""),"",IF(A980="","CLIENT REQUIRED",IF(B980="","SERVICE REQUIRED",IF(COUNTIF(Clients!$A$5:$A$404,A980)=0,"CLIENT NOT FOUND",IF(COUNTIF(Services!$A$5:$A$104,B980)=0,"SERVICE NOT IN SERVICES","OK")))))</x:f>
      </x:c>
    </x:row>
    <x:row r="981">
      <x:c r="D981" s="100" t="str">
        <x:f>IF(AND(A981="",B981=""),"",IF(A981="","CLIENT REQUIRED",IF(B981="","SERVICE REQUIRED",IF(COUNTIF(Clients!$A$5:$A$404,A981)=0,"CLIENT NOT FOUND",IF(COUNTIF(Services!$A$5:$A$104,B981)=0,"SERVICE NOT IN SERVICES","OK")))))</x:f>
      </x:c>
    </x:row>
    <x:row r="982">
      <x:c r="D982" s="100" t="str">
        <x:f>IF(AND(A982="",B982=""),"",IF(A982="","CLIENT REQUIRED",IF(B982="","SERVICE REQUIRED",IF(COUNTIF(Clients!$A$5:$A$404,A982)=0,"CLIENT NOT FOUND",IF(COUNTIF(Services!$A$5:$A$104,B982)=0,"SERVICE NOT IN SERVICES","OK")))))</x:f>
      </x:c>
    </x:row>
    <x:row r="983">
      <x:c r="D983" s="100" t="str">
        <x:f>IF(AND(A983="",B983=""),"",IF(A983="","CLIENT REQUIRED",IF(B983="","SERVICE REQUIRED",IF(COUNTIF(Clients!$A$5:$A$404,A983)=0,"CLIENT NOT FOUND",IF(COUNTIF(Services!$A$5:$A$104,B983)=0,"SERVICE NOT IN SERVICES","OK")))))</x:f>
      </x:c>
    </x:row>
    <x:row r="984">
      <x:c r="D984" s="100" t="str">
        <x:f>IF(AND(A984="",B984=""),"",IF(A984="","CLIENT REQUIRED",IF(B984="","SERVICE REQUIRED",IF(COUNTIF(Clients!$A$5:$A$404,A984)=0,"CLIENT NOT FOUND",IF(COUNTIF(Services!$A$5:$A$104,B984)=0,"SERVICE NOT IN SERVICES","OK")))))</x:f>
      </x:c>
    </x:row>
    <x:row r="985">
      <x:c r="D985" s="100" t="str">
        <x:f>IF(AND(A985="",B985=""),"",IF(A985="","CLIENT REQUIRED",IF(B985="","SERVICE REQUIRED",IF(COUNTIF(Clients!$A$5:$A$404,A985)=0,"CLIENT NOT FOUND",IF(COUNTIF(Services!$A$5:$A$104,B985)=0,"SERVICE NOT IN SERVICES","OK")))))</x:f>
      </x:c>
    </x:row>
    <x:row r="986">
      <x:c r="D986" s="100" t="str">
        <x:f>IF(AND(A986="",B986=""),"",IF(A986="","CLIENT REQUIRED",IF(B986="","SERVICE REQUIRED",IF(COUNTIF(Clients!$A$5:$A$404,A986)=0,"CLIENT NOT FOUND",IF(COUNTIF(Services!$A$5:$A$104,B986)=0,"SERVICE NOT IN SERVICES","OK")))))</x:f>
      </x:c>
    </x:row>
    <x:row r="987">
      <x:c r="D987" s="100" t="str">
        <x:f>IF(AND(A987="",B987=""),"",IF(A987="","CLIENT REQUIRED",IF(B987="","SERVICE REQUIRED",IF(COUNTIF(Clients!$A$5:$A$404,A987)=0,"CLIENT NOT FOUND",IF(COUNTIF(Services!$A$5:$A$104,B987)=0,"SERVICE NOT IN SERVICES","OK")))))</x:f>
      </x:c>
    </x:row>
    <x:row r="988">
      <x:c r="D988" s="100" t="str">
        <x:f>IF(AND(A988="",B988=""),"",IF(A988="","CLIENT REQUIRED",IF(B988="","SERVICE REQUIRED",IF(COUNTIF(Clients!$A$5:$A$404,A988)=0,"CLIENT NOT FOUND",IF(COUNTIF(Services!$A$5:$A$104,B988)=0,"SERVICE NOT IN SERVICES","OK")))))</x:f>
      </x:c>
    </x:row>
    <x:row r="989">
      <x:c r="D989" s="100" t="str">
        <x:f>IF(AND(A989="",B989=""),"",IF(A989="","CLIENT REQUIRED",IF(B989="","SERVICE REQUIRED",IF(COUNTIF(Clients!$A$5:$A$404,A989)=0,"CLIENT NOT FOUND",IF(COUNTIF(Services!$A$5:$A$104,B989)=0,"SERVICE NOT IN SERVICES","OK")))))</x:f>
      </x:c>
    </x:row>
    <x:row r="990">
      <x:c r="D990" s="100" t="str">
        <x:f>IF(AND(A990="",B990=""),"",IF(A990="","CLIENT REQUIRED",IF(B990="","SERVICE REQUIRED",IF(COUNTIF(Clients!$A$5:$A$404,A990)=0,"CLIENT NOT FOUND",IF(COUNTIF(Services!$A$5:$A$104,B990)=0,"SERVICE NOT IN SERVICES","OK")))))</x:f>
      </x:c>
    </x:row>
    <x:row r="991">
      <x:c r="D991" s="100" t="str">
        <x:f>IF(AND(A991="",B991=""),"",IF(A991="","CLIENT REQUIRED",IF(B991="","SERVICE REQUIRED",IF(COUNTIF(Clients!$A$5:$A$404,A991)=0,"CLIENT NOT FOUND",IF(COUNTIF(Services!$A$5:$A$104,B991)=0,"SERVICE NOT IN SERVICES","OK")))))</x:f>
      </x:c>
    </x:row>
    <x:row r="992">
      <x:c r="D992" s="100" t="str">
        <x:f>IF(AND(A992="",B992=""),"",IF(A992="","CLIENT REQUIRED",IF(B992="","SERVICE REQUIRED",IF(COUNTIF(Clients!$A$5:$A$404,A992)=0,"CLIENT NOT FOUND",IF(COUNTIF(Services!$A$5:$A$104,B992)=0,"SERVICE NOT IN SERVICES","OK")))))</x:f>
      </x:c>
    </x:row>
    <x:row r="993">
      <x:c r="D993" s="100" t="str">
        <x:f>IF(AND(A993="",B993=""),"",IF(A993="","CLIENT REQUIRED",IF(B993="","SERVICE REQUIRED",IF(COUNTIF(Clients!$A$5:$A$404,A993)=0,"CLIENT NOT FOUND",IF(COUNTIF(Services!$A$5:$A$104,B993)=0,"SERVICE NOT IN SERVICES","OK")))))</x:f>
      </x:c>
    </x:row>
    <x:row r="994">
      <x:c r="D994" s="100" t="str">
        <x:f>IF(AND(A994="",B994=""),"",IF(A994="","CLIENT REQUIRED",IF(B994="","SERVICE REQUIRED",IF(COUNTIF(Clients!$A$5:$A$404,A994)=0,"CLIENT NOT FOUND",IF(COUNTIF(Services!$A$5:$A$104,B994)=0,"SERVICE NOT IN SERVICES","OK")))))</x:f>
      </x:c>
    </x:row>
    <x:row r="995">
      <x:c r="D995" s="100" t="str">
        <x:f>IF(AND(A995="",B995=""),"",IF(A995="","CLIENT REQUIRED",IF(B995="","SERVICE REQUIRED",IF(COUNTIF(Clients!$A$5:$A$404,A995)=0,"CLIENT NOT FOUND",IF(COUNTIF(Services!$A$5:$A$104,B995)=0,"SERVICE NOT IN SERVICES","OK")))))</x:f>
      </x:c>
    </x:row>
    <x:row r="996">
      <x:c r="D996" s="100" t="str">
        <x:f>IF(AND(A996="",B996=""),"",IF(A996="","CLIENT REQUIRED",IF(B996="","SERVICE REQUIRED",IF(COUNTIF(Clients!$A$5:$A$404,A996)=0,"CLIENT NOT FOUND",IF(COUNTIF(Services!$A$5:$A$104,B996)=0,"SERVICE NOT IN SERVICES","OK")))))</x:f>
      </x:c>
    </x:row>
    <x:row r="997">
      <x:c r="D997" s="100" t="str">
        <x:f>IF(AND(A997="",B997=""),"",IF(A997="","CLIENT REQUIRED",IF(B997="","SERVICE REQUIRED",IF(COUNTIF(Clients!$A$5:$A$404,A997)=0,"CLIENT NOT FOUND",IF(COUNTIF(Services!$A$5:$A$104,B997)=0,"SERVICE NOT IN SERVICES","OK")))))</x:f>
      </x:c>
    </x:row>
    <x:row r="998">
      <x:c r="D998" s="100" t="str">
        <x:f>IF(AND(A998="",B998=""),"",IF(A998="","CLIENT REQUIRED",IF(B998="","SERVICE REQUIRED",IF(COUNTIF(Clients!$A$5:$A$404,A998)=0,"CLIENT NOT FOUND",IF(COUNTIF(Services!$A$5:$A$104,B998)=0,"SERVICE NOT IN SERVICES","OK")))))</x:f>
      </x:c>
    </x:row>
    <x:row r="999">
      <x:c r="D999" s="100" t="str">
        <x:f>IF(AND(A999="",B999=""),"",IF(A999="","CLIENT REQUIRED",IF(B999="","SERVICE REQUIRED",IF(COUNTIF(Clients!$A$5:$A$404,A999)=0,"CLIENT NOT FOUND",IF(COUNTIF(Services!$A$5:$A$104,B999)=0,"SERVICE NOT IN SERVICES","OK")))))</x:f>
      </x:c>
    </x:row>
    <x:row r="1000">
      <x:c r="D1000" s="100" t="str">
        <x:f>IF(AND(A1000="",B1000=""),"",IF(A1000="","CLIENT REQUIRED",IF(B1000="","SERVICE REQUIRED",IF(COUNTIF(Clients!$A$5:$A$404,A1000)=0,"CLIENT NOT FOUND",IF(COUNTIF(Services!$A$5:$A$104,B1000)=0,"SERVICE NOT IN SERVICES","OK")))))</x:f>
      </x:c>
    </x:row>
    <x:row r="1001">
      <x:c r="D1001" s="100" t="str">
        <x:f>IF(AND(A1001="",B1001=""),"",IF(A1001="","CLIENT REQUIRED",IF(B1001="","SERVICE REQUIRED",IF(COUNTIF(Clients!$A$5:$A$404,A1001)=0,"CLIENT NOT FOUND",IF(COUNTIF(Services!$A$5:$A$104,B1001)=0,"SERVICE NOT IN SERVICES","OK")))))</x:f>
      </x:c>
    </x:row>
    <x:row r="1002">
      <x:c r="D1002" s="100" t="str">
        <x:f>IF(AND(A1002="",B1002=""),"",IF(A1002="","CLIENT REQUIRED",IF(B1002="","SERVICE REQUIRED",IF(COUNTIF(Clients!$A$5:$A$404,A1002)=0,"CLIENT NOT FOUND",IF(COUNTIF(Services!$A$5:$A$104,B1002)=0,"SERVICE NOT IN SERVICES","OK")))))</x:f>
      </x:c>
    </x:row>
    <x:row r="1003">
      <x:c r="D1003" s="100" t="str">
        <x:f>IF(AND(A1003="",B1003=""),"",IF(A1003="","CLIENT REQUIRED",IF(B1003="","SERVICE REQUIRED",IF(COUNTIF(Clients!$A$5:$A$404,A1003)=0,"CLIENT NOT FOUND",IF(COUNTIF(Services!$A$5:$A$104,B1003)=0,"SERVICE NOT IN SERVICES","OK")))))</x:f>
      </x:c>
    </x:row>
    <x:row r="1004">
      <x:c r="D1004" s="100" t="str">
        <x:f>IF(AND(A1004="",B1004=""),"",IF(A1004="","CLIENT REQUIRED",IF(B1004="","SERVICE REQUIRED",IF(COUNTIF(Clients!$A$5:$A$404,A1004)=0,"CLIENT NOT FOUND",IF(COUNTIF(Services!$A$5:$A$104,B1004)=0,"SERVICE NOT IN SERVICES","OK")))))</x:f>
      </x:c>
    </x:row>
  </x:sheetData>
  <x:mergeCells>
    <x:mergeCell ref="A1:D1"/>
    <x:mergeCell ref="A2:D2"/>
  </x:mergeCells>
  <x:conditionalFormatting sqref="D5:D1004">
    <x:cfRule type="expression" dxfId="10" priority="1">
      <x:formula>AND($D5&lt;&gt;"",$D5&lt;&gt;"OK")</x:formula>
    </x:cfRule>
    <x:cfRule type="expression" dxfId="11" priority="2">
      <x:formula>$D5="OK"</x:formula>
    </x:cfRule>
  </x:conditionalFormatting>
  <x:dataValidations count="2">
    <x:dataValidation type="list" sqref="A5:A1004">
      <x:formula1>Clients!$A$5:$A$404</x:formula1>
    </x:dataValidation>
    <x:dataValidation type="list" sqref="B5:B1004">
      <x:formula1>Services!$A$5:$A$104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22" hidden="0" customWidth="1"/>
    <x:col min="5" max="5" width="13" hidden="0" customWidth="1"/>
    <x:col min="6" max="6" width="42" hidden="0" customWidth="1"/>
    <x:col min="7" max="7" width="22" hidden="0" customWidth="1"/>
  </x:cols>
  <x:sheetData>
    <x:row r="1" ht="28" customHeight="1">
      <x:c r="A1" s="4" t="str">
        <x:v>Standard 4-Week Schedule</x:v>
      </x:c>
      <x:c r="B1" s="4"/>
      <x:c r="C1" s="4"/>
      <x:c r="D1" s="4"/>
      <x:c r="E1" s="4"/>
      <x:c r="F1" s="4"/>
      <x:c r="G1" s="4"/>
    </x:row>
    <x:row r="2" ht="30" customHeight="1">
      <x:c r="A2" s="9" t="str">
        <x:v>Enter every normal visit in a standard four-week month. TuinBooks links Week 1 to a real Monday during import.</x:v>
      </x:c>
      <x:c r="B2" s="9"/>
      <x:c r="C2" s="9"/>
      <x:c r="D2" s="9"/>
      <x:c r="E2" s="9"/>
      <x:c r="F2" s="9"/>
      <x:c r="G2" s="9"/>
    </x:row>
    <x:row r="4">
      <x:c r="A4" s="94" t="str">
        <x:v>Week</x:v>
      </x:c>
      <x:c r="B4" s="94" t="str">
        <x:v>Day</x:v>
      </x:c>
      <x:c r="C4" s="94" t="str">
        <x:v>Client</x:v>
      </x:c>
      <x:c r="D4" s="94" t="str">
        <x:v>Team</x:v>
      </x:c>
      <x:c r="E4" s="94" t="str">
        <x:v>Start Time</x:v>
      </x:c>
      <x:c r="F4" s="94" t="str">
        <x:v>Notes</x:v>
      </x:c>
      <x:c r="G4" s="94" t="str">
        <x:v>Check</x:v>
      </x:c>
    </x:row>
    <x:row r="5">
      <x:c r="E5" s="102"/>
      <x:c r="G5" s="100" t="str">
        <x:f>IF(COUNTA(A5:F5)=0,"",IF(OR(A5="",B5="",C5="",D5=""),"COMPLETE ROW",IF(COUNTIF(Clients!$A$5:$A$404,C5)=0,"CLIENT NOT FOUND",IF(COUNTIFS(Clients!$A$5:$A$404,C5,Clients!$B$5:$B$404,"Active")=0,"CLIENT NOT ACTIVE",IF(COUNTIF(Teams!$A$5:$A$104,D5)=0,"TEAM NOT FOUND","OK")))))</x:f>
      </x:c>
    </x:row>
    <x:row r="6">
      <x:c r="E6" s="102"/>
      <x:c r="G6" s="100" t="str">
        <x:f>IF(COUNTA(A6:F6)=0,"",IF(OR(A6="",B6="",C6="",D6=""),"COMPLETE ROW",IF(COUNTIF(Clients!$A$5:$A$404,C6)=0,"CLIENT NOT FOUND",IF(COUNTIFS(Clients!$A$5:$A$404,C6,Clients!$B$5:$B$404,"Active")=0,"CLIENT NOT ACTIVE",IF(COUNTIF(Teams!$A$5:$A$104,D6)=0,"TEAM NOT FOUND","OK")))))</x:f>
      </x:c>
    </x:row>
    <x:row r="7">
      <x:c r="E7" s="102"/>
      <x:c r="G7" s="100" t="str">
        <x:f>IF(COUNTA(A7:F7)=0,"",IF(OR(A7="",B7="",C7="",D7=""),"COMPLETE ROW",IF(COUNTIF(Clients!$A$5:$A$404,C7)=0,"CLIENT NOT FOUND",IF(COUNTIFS(Clients!$A$5:$A$404,C7,Clients!$B$5:$B$404,"Active")=0,"CLIENT NOT ACTIVE",IF(COUNTIF(Teams!$A$5:$A$104,D7)=0,"TEAM NOT FOUND","OK")))))</x:f>
      </x:c>
    </x:row>
    <x:row r="8">
      <x:c r="E8" s="102"/>
      <x:c r="G8" s="100" t="str">
        <x:f>IF(COUNTA(A8:F8)=0,"",IF(OR(A8="",B8="",C8="",D8=""),"COMPLETE ROW",IF(COUNTIF(Clients!$A$5:$A$404,C8)=0,"CLIENT NOT FOUND",IF(COUNTIFS(Clients!$A$5:$A$404,C8,Clients!$B$5:$B$404,"Active")=0,"CLIENT NOT ACTIVE",IF(COUNTIF(Teams!$A$5:$A$104,D8)=0,"TEAM NOT FOUND","OK")))))</x:f>
      </x:c>
    </x:row>
    <x:row r="9">
      <x:c r="E9" s="102"/>
      <x:c r="G9" s="100" t="str">
        <x:f>IF(COUNTA(A9:F9)=0,"",IF(OR(A9="",B9="",C9="",D9=""),"COMPLETE ROW",IF(COUNTIF(Clients!$A$5:$A$404,C9)=0,"CLIENT NOT FOUND",IF(COUNTIFS(Clients!$A$5:$A$404,C9,Clients!$B$5:$B$404,"Active")=0,"CLIENT NOT ACTIVE",IF(COUNTIF(Teams!$A$5:$A$104,D9)=0,"TEAM NOT FOUND","OK")))))</x:f>
      </x:c>
    </x:row>
    <x:row r="10">
      <x:c r="E10" s="102"/>
      <x:c r="G10" s="100" t="str">
        <x:f>IF(COUNTA(A10:F10)=0,"",IF(OR(A10="",B10="",C10="",D10=""),"COMPLETE ROW",IF(COUNTIF(Clients!$A$5:$A$404,C10)=0,"CLIENT NOT FOUND",IF(COUNTIFS(Clients!$A$5:$A$404,C10,Clients!$B$5:$B$404,"Active")=0,"CLIENT NOT ACTIVE",IF(COUNTIF(Teams!$A$5:$A$104,D10)=0,"TEAM NOT FOUND","OK")))))</x:f>
      </x:c>
    </x:row>
    <x:row r="11">
      <x:c r="E11" s="102"/>
      <x:c r="G11" s="100" t="str">
        <x:f>IF(COUNTA(A11:F11)=0,"",IF(OR(A11="",B11="",C11="",D11=""),"COMPLETE ROW",IF(COUNTIF(Clients!$A$5:$A$404,C11)=0,"CLIENT NOT FOUND",IF(COUNTIFS(Clients!$A$5:$A$404,C11,Clients!$B$5:$B$404,"Active")=0,"CLIENT NOT ACTIVE",IF(COUNTIF(Teams!$A$5:$A$104,D11)=0,"TEAM NOT FOUND","OK")))))</x:f>
      </x:c>
    </x:row>
    <x:row r="12">
      <x:c r="E12" s="102"/>
      <x:c r="G12" s="100" t="str">
        <x:f>IF(COUNTA(A12:F12)=0,"",IF(OR(A12="",B12="",C12="",D12=""),"COMPLETE ROW",IF(COUNTIF(Clients!$A$5:$A$404,C12)=0,"CLIENT NOT FOUND",IF(COUNTIFS(Clients!$A$5:$A$404,C12,Clients!$B$5:$B$404,"Active")=0,"CLIENT NOT ACTIVE",IF(COUNTIF(Teams!$A$5:$A$104,D12)=0,"TEAM NOT FOUND","OK")))))</x:f>
      </x:c>
    </x:row>
    <x:row r="13">
      <x:c r="E13" s="102"/>
      <x:c r="G13" s="100" t="str">
        <x:f>IF(COUNTA(A13:F13)=0,"",IF(OR(A13="",B13="",C13="",D13=""),"COMPLETE ROW",IF(COUNTIF(Clients!$A$5:$A$404,C13)=0,"CLIENT NOT FOUND",IF(COUNTIFS(Clients!$A$5:$A$404,C13,Clients!$B$5:$B$404,"Active")=0,"CLIENT NOT ACTIVE",IF(COUNTIF(Teams!$A$5:$A$104,D13)=0,"TEAM NOT FOUND","OK")))))</x:f>
      </x:c>
    </x:row>
    <x:row r="14">
      <x:c r="E14" s="102"/>
      <x:c r="G14" s="100" t="str">
        <x:f>IF(COUNTA(A14:F14)=0,"",IF(OR(A14="",B14="",C14="",D14=""),"COMPLETE ROW",IF(COUNTIF(Clients!$A$5:$A$404,C14)=0,"CLIENT NOT FOUND",IF(COUNTIFS(Clients!$A$5:$A$404,C14,Clients!$B$5:$B$404,"Active")=0,"CLIENT NOT ACTIVE",IF(COUNTIF(Teams!$A$5:$A$104,D14)=0,"TEAM NOT FOUND","OK")))))</x:f>
      </x:c>
    </x:row>
    <x:row r="15">
      <x:c r="E15" s="102"/>
      <x:c r="G15" s="100" t="str">
        <x:f>IF(COUNTA(A15:F15)=0,"",IF(OR(A15="",B15="",C15="",D15=""),"COMPLETE ROW",IF(COUNTIF(Clients!$A$5:$A$404,C15)=0,"CLIENT NOT FOUND",IF(COUNTIFS(Clients!$A$5:$A$404,C15,Clients!$B$5:$B$404,"Active")=0,"CLIENT NOT ACTIVE",IF(COUNTIF(Teams!$A$5:$A$104,D15)=0,"TEAM NOT FOUND","OK")))))</x:f>
      </x:c>
    </x:row>
    <x:row r="16">
      <x:c r="E16" s="102"/>
      <x:c r="G16" s="100" t="str">
        <x:f>IF(COUNTA(A16:F16)=0,"",IF(OR(A16="",B16="",C16="",D16=""),"COMPLETE ROW",IF(COUNTIF(Clients!$A$5:$A$404,C16)=0,"CLIENT NOT FOUND",IF(COUNTIFS(Clients!$A$5:$A$404,C16,Clients!$B$5:$B$404,"Active")=0,"CLIENT NOT ACTIVE",IF(COUNTIF(Teams!$A$5:$A$104,D16)=0,"TEAM NOT FOUND","OK")))))</x:f>
      </x:c>
    </x:row>
    <x:row r="17">
      <x:c r="E17" s="102"/>
      <x:c r="G17" s="100" t="str">
        <x:f>IF(COUNTA(A17:F17)=0,"",IF(OR(A17="",B17="",C17="",D17=""),"COMPLETE ROW",IF(COUNTIF(Clients!$A$5:$A$404,C17)=0,"CLIENT NOT FOUND",IF(COUNTIFS(Clients!$A$5:$A$404,C17,Clients!$B$5:$B$404,"Active")=0,"CLIENT NOT ACTIVE",IF(COUNTIF(Teams!$A$5:$A$104,D17)=0,"TEAM NOT FOUND","OK")))))</x:f>
      </x:c>
    </x:row>
    <x:row r="18">
      <x:c r="E18" s="102"/>
      <x:c r="G18" s="100" t="str">
        <x:f>IF(COUNTA(A18:F18)=0,"",IF(OR(A18="",B18="",C18="",D18=""),"COMPLETE ROW",IF(COUNTIF(Clients!$A$5:$A$404,C18)=0,"CLIENT NOT FOUND",IF(COUNTIFS(Clients!$A$5:$A$404,C18,Clients!$B$5:$B$404,"Active")=0,"CLIENT NOT ACTIVE",IF(COUNTIF(Teams!$A$5:$A$104,D18)=0,"TEAM NOT FOUND","OK")))))</x:f>
      </x:c>
    </x:row>
    <x:row r="19">
      <x:c r="E19" s="102"/>
      <x:c r="G19" s="100" t="str">
        <x:f>IF(COUNTA(A19:F19)=0,"",IF(OR(A19="",B19="",C19="",D19=""),"COMPLETE ROW",IF(COUNTIF(Clients!$A$5:$A$404,C19)=0,"CLIENT NOT FOUND",IF(COUNTIFS(Clients!$A$5:$A$404,C19,Clients!$B$5:$B$404,"Active")=0,"CLIENT NOT ACTIVE",IF(COUNTIF(Teams!$A$5:$A$104,D19)=0,"TEAM NOT FOUND","OK")))))</x:f>
      </x:c>
    </x:row>
    <x:row r="20">
      <x:c r="E20" s="102"/>
      <x:c r="G20" s="100" t="str">
        <x:f>IF(COUNTA(A20:F20)=0,"",IF(OR(A20="",B20="",C20="",D20=""),"COMPLETE ROW",IF(COUNTIF(Clients!$A$5:$A$404,C20)=0,"CLIENT NOT FOUND",IF(COUNTIFS(Clients!$A$5:$A$404,C20,Clients!$B$5:$B$404,"Active")=0,"CLIENT NOT ACTIVE",IF(COUNTIF(Teams!$A$5:$A$104,D20)=0,"TEAM NOT FOUND","OK")))))</x:f>
      </x:c>
    </x:row>
    <x:row r="21">
      <x:c r="E21" s="102"/>
      <x:c r="G21" s="100" t="str">
        <x:f>IF(COUNTA(A21:F21)=0,"",IF(OR(A21="",B21="",C21="",D21=""),"COMPLETE ROW",IF(COUNTIF(Clients!$A$5:$A$404,C21)=0,"CLIENT NOT FOUND",IF(COUNTIFS(Clients!$A$5:$A$404,C21,Clients!$B$5:$B$404,"Active")=0,"CLIENT NOT ACTIVE",IF(COUNTIF(Teams!$A$5:$A$104,D21)=0,"TEAM NOT FOUND","OK")))))</x:f>
      </x:c>
    </x:row>
    <x:row r="22">
      <x:c r="E22" s="102"/>
      <x:c r="G22" s="100" t="str">
        <x:f>IF(COUNTA(A22:F22)=0,"",IF(OR(A22="",B22="",C22="",D22=""),"COMPLETE ROW",IF(COUNTIF(Clients!$A$5:$A$404,C22)=0,"CLIENT NOT FOUND",IF(COUNTIFS(Clients!$A$5:$A$404,C22,Clients!$B$5:$B$404,"Active")=0,"CLIENT NOT ACTIVE",IF(COUNTIF(Teams!$A$5:$A$104,D22)=0,"TEAM NOT FOUND","OK")))))</x:f>
      </x:c>
    </x:row>
    <x:row r="23">
      <x:c r="E23" s="102"/>
      <x:c r="G23" s="100" t="str">
        <x:f>IF(COUNTA(A23:F23)=0,"",IF(OR(A23="",B23="",C23="",D23=""),"COMPLETE ROW",IF(COUNTIF(Clients!$A$5:$A$404,C23)=0,"CLIENT NOT FOUND",IF(COUNTIFS(Clients!$A$5:$A$404,C23,Clients!$B$5:$B$404,"Active")=0,"CLIENT NOT ACTIVE",IF(COUNTIF(Teams!$A$5:$A$104,D23)=0,"TEAM NOT FOUND","OK")))))</x:f>
      </x:c>
    </x:row>
    <x:row r="24">
      <x:c r="E24" s="102"/>
      <x:c r="G24" s="100" t="str">
        <x:f>IF(COUNTA(A24:F24)=0,"",IF(OR(A24="",B24="",C24="",D24=""),"COMPLETE ROW",IF(COUNTIF(Clients!$A$5:$A$404,C24)=0,"CLIENT NOT FOUND",IF(COUNTIFS(Clients!$A$5:$A$404,C24,Clients!$B$5:$B$404,"Active")=0,"CLIENT NOT ACTIVE",IF(COUNTIF(Teams!$A$5:$A$104,D24)=0,"TEAM NOT FOUND","OK")))))</x:f>
      </x:c>
    </x:row>
    <x:row r="25">
      <x:c r="E25" s="102"/>
      <x:c r="G25" s="100" t="str">
        <x:f>IF(COUNTA(A25:F25)=0,"",IF(OR(A25="",B25="",C25="",D25=""),"COMPLETE ROW",IF(COUNTIF(Clients!$A$5:$A$404,C25)=0,"CLIENT NOT FOUND",IF(COUNTIFS(Clients!$A$5:$A$404,C25,Clients!$B$5:$B$404,"Active")=0,"CLIENT NOT ACTIVE",IF(COUNTIF(Teams!$A$5:$A$104,D25)=0,"TEAM NOT FOUND","OK")))))</x:f>
      </x:c>
    </x:row>
    <x:row r="26">
      <x:c r="E26" s="102"/>
      <x:c r="G26" s="100" t="str">
        <x:f>IF(COUNTA(A26:F26)=0,"",IF(OR(A26="",B26="",C26="",D26=""),"COMPLETE ROW",IF(COUNTIF(Clients!$A$5:$A$404,C26)=0,"CLIENT NOT FOUND",IF(COUNTIFS(Clients!$A$5:$A$404,C26,Clients!$B$5:$B$404,"Active")=0,"CLIENT NOT ACTIVE",IF(COUNTIF(Teams!$A$5:$A$104,D26)=0,"TEAM NOT FOUND","OK")))))</x:f>
      </x:c>
    </x:row>
    <x:row r="27">
      <x:c r="E27" s="102"/>
      <x:c r="G27" s="100" t="str">
        <x:f>IF(COUNTA(A27:F27)=0,"",IF(OR(A27="",B27="",C27="",D27=""),"COMPLETE ROW",IF(COUNTIF(Clients!$A$5:$A$404,C27)=0,"CLIENT NOT FOUND",IF(COUNTIFS(Clients!$A$5:$A$404,C27,Clients!$B$5:$B$404,"Active")=0,"CLIENT NOT ACTIVE",IF(COUNTIF(Teams!$A$5:$A$104,D27)=0,"TEAM NOT FOUND","OK")))))</x:f>
      </x:c>
    </x:row>
    <x:row r="28">
      <x:c r="E28" s="102"/>
      <x:c r="G28" s="100" t="str">
        <x:f>IF(COUNTA(A28:F28)=0,"",IF(OR(A28="",B28="",C28="",D28=""),"COMPLETE ROW",IF(COUNTIF(Clients!$A$5:$A$404,C28)=0,"CLIENT NOT FOUND",IF(COUNTIFS(Clients!$A$5:$A$404,C28,Clients!$B$5:$B$404,"Active")=0,"CLIENT NOT ACTIVE",IF(COUNTIF(Teams!$A$5:$A$104,D28)=0,"TEAM NOT FOUND","OK")))))</x:f>
      </x:c>
    </x:row>
    <x:row r="29">
      <x:c r="E29" s="102"/>
      <x:c r="G29" s="100" t="str">
        <x:f>IF(COUNTA(A29:F29)=0,"",IF(OR(A29="",B29="",C29="",D29=""),"COMPLETE ROW",IF(COUNTIF(Clients!$A$5:$A$404,C29)=0,"CLIENT NOT FOUND",IF(COUNTIFS(Clients!$A$5:$A$404,C29,Clients!$B$5:$B$404,"Active")=0,"CLIENT NOT ACTIVE",IF(COUNTIF(Teams!$A$5:$A$104,D29)=0,"TEAM NOT FOUND","OK")))))</x:f>
      </x:c>
    </x:row>
    <x:row r="30">
      <x:c r="E30" s="102"/>
      <x:c r="G30" s="100" t="str">
        <x:f>IF(COUNTA(A30:F30)=0,"",IF(OR(A30="",B30="",C30="",D30=""),"COMPLETE ROW",IF(COUNTIF(Clients!$A$5:$A$404,C30)=0,"CLIENT NOT FOUND",IF(COUNTIFS(Clients!$A$5:$A$404,C30,Clients!$B$5:$B$404,"Active")=0,"CLIENT NOT ACTIVE",IF(COUNTIF(Teams!$A$5:$A$104,D30)=0,"TEAM NOT FOUND","OK")))))</x:f>
      </x:c>
    </x:row>
    <x:row r="31">
      <x:c r="E31" s="102"/>
      <x:c r="G31" s="100" t="str">
        <x:f>IF(COUNTA(A31:F31)=0,"",IF(OR(A31="",B31="",C31="",D31=""),"COMPLETE ROW",IF(COUNTIF(Clients!$A$5:$A$404,C31)=0,"CLIENT NOT FOUND",IF(COUNTIFS(Clients!$A$5:$A$404,C31,Clients!$B$5:$B$404,"Active")=0,"CLIENT NOT ACTIVE",IF(COUNTIF(Teams!$A$5:$A$104,D31)=0,"TEAM NOT FOUND","OK")))))</x:f>
      </x:c>
    </x:row>
    <x:row r="32">
      <x:c r="E32" s="102"/>
      <x:c r="G32" s="100" t="str">
        <x:f>IF(COUNTA(A32:F32)=0,"",IF(OR(A32="",B32="",C32="",D32=""),"COMPLETE ROW",IF(COUNTIF(Clients!$A$5:$A$404,C32)=0,"CLIENT NOT FOUND",IF(COUNTIFS(Clients!$A$5:$A$404,C32,Clients!$B$5:$B$404,"Active")=0,"CLIENT NOT ACTIVE",IF(COUNTIF(Teams!$A$5:$A$104,D32)=0,"TEAM NOT FOUND","OK")))))</x:f>
      </x:c>
    </x:row>
    <x:row r="33">
      <x:c r="E33" s="102"/>
      <x:c r="G33" s="100" t="str">
        <x:f>IF(COUNTA(A33:F33)=0,"",IF(OR(A33="",B33="",C33="",D33=""),"COMPLETE ROW",IF(COUNTIF(Clients!$A$5:$A$404,C33)=0,"CLIENT NOT FOUND",IF(COUNTIFS(Clients!$A$5:$A$404,C33,Clients!$B$5:$B$404,"Active")=0,"CLIENT NOT ACTIVE",IF(COUNTIF(Teams!$A$5:$A$104,D33)=0,"TEAM NOT FOUND","OK")))))</x:f>
      </x:c>
    </x:row>
    <x:row r="34">
      <x:c r="E34" s="102"/>
      <x:c r="G34" s="100" t="str">
        <x:f>IF(COUNTA(A34:F34)=0,"",IF(OR(A34="",B34="",C34="",D34=""),"COMPLETE ROW",IF(COUNTIF(Clients!$A$5:$A$404,C34)=0,"CLIENT NOT FOUND",IF(COUNTIFS(Clients!$A$5:$A$404,C34,Clients!$B$5:$B$404,"Active")=0,"CLIENT NOT ACTIVE",IF(COUNTIF(Teams!$A$5:$A$104,D34)=0,"TEAM NOT FOUND","OK")))))</x:f>
      </x:c>
    </x:row>
    <x:row r="35">
      <x:c r="E35" s="102"/>
      <x:c r="G35" s="100" t="str">
        <x:f>IF(COUNTA(A35:F35)=0,"",IF(OR(A35="",B35="",C35="",D35=""),"COMPLETE ROW",IF(COUNTIF(Clients!$A$5:$A$404,C35)=0,"CLIENT NOT FOUND",IF(COUNTIFS(Clients!$A$5:$A$404,C35,Clients!$B$5:$B$404,"Active")=0,"CLIENT NOT ACTIVE",IF(COUNTIF(Teams!$A$5:$A$104,D35)=0,"TEAM NOT FOUND","OK")))))</x:f>
      </x:c>
    </x:row>
    <x:row r="36">
      <x:c r="E36" s="102"/>
      <x:c r="G36" s="100" t="str">
        <x:f>IF(COUNTA(A36:F36)=0,"",IF(OR(A36="",B36="",C36="",D36=""),"COMPLETE ROW",IF(COUNTIF(Clients!$A$5:$A$404,C36)=0,"CLIENT NOT FOUND",IF(COUNTIFS(Clients!$A$5:$A$404,C36,Clients!$B$5:$B$404,"Active")=0,"CLIENT NOT ACTIVE",IF(COUNTIF(Teams!$A$5:$A$104,D36)=0,"TEAM NOT FOUND","OK")))))</x:f>
      </x:c>
    </x:row>
    <x:row r="37">
      <x:c r="E37" s="102"/>
      <x:c r="G37" s="100" t="str">
        <x:f>IF(COUNTA(A37:F37)=0,"",IF(OR(A37="",B37="",C37="",D37=""),"COMPLETE ROW",IF(COUNTIF(Clients!$A$5:$A$404,C37)=0,"CLIENT NOT FOUND",IF(COUNTIFS(Clients!$A$5:$A$404,C37,Clients!$B$5:$B$404,"Active")=0,"CLIENT NOT ACTIVE",IF(COUNTIF(Teams!$A$5:$A$104,D37)=0,"TEAM NOT FOUND","OK")))))</x:f>
      </x:c>
    </x:row>
    <x:row r="38">
      <x:c r="E38" s="102"/>
      <x:c r="G38" s="100" t="str">
        <x:f>IF(COUNTA(A38:F38)=0,"",IF(OR(A38="",B38="",C38="",D38=""),"COMPLETE ROW",IF(COUNTIF(Clients!$A$5:$A$404,C38)=0,"CLIENT NOT FOUND",IF(COUNTIFS(Clients!$A$5:$A$404,C38,Clients!$B$5:$B$404,"Active")=0,"CLIENT NOT ACTIVE",IF(COUNTIF(Teams!$A$5:$A$104,D38)=0,"TEAM NOT FOUND","OK")))))</x:f>
      </x:c>
    </x:row>
    <x:row r="39">
      <x:c r="E39" s="102"/>
      <x:c r="G39" s="100" t="str">
        <x:f>IF(COUNTA(A39:F39)=0,"",IF(OR(A39="",B39="",C39="",D39=""),"COMPLETE ROW",IF(COUNTIF(Clients!$A$5:$A$404,C39)=0,"CLIENT NOT FOUND",IF(COUNTIFS(Clients!$A$5:$A$404,C39,Clients!$B$5:$B$404,"Active")=0,"CLIENT NOT ACTIVE",IF(COUNTIF(Teams!$A$5:$A$104,D39)=0,"TEAM NOT FOUND","OK")))))</x:f>
      </x:c>
    </x:row>
    <x:row r="40">
      <x:c r="E40" s="102"/>
      <x:c r="G40" s="100" t="str">
        <x:f>IF(COUNTA(A40:F40)=0,"",IF(OR(A40="",B40="",C40="",D40=""),"COMPLETE ROW",IF(COUNTIF(Clients!$A$5:$A$404,C40)=0,"CLIENT NOT FOUND",IF(COUNTIFS(Clients!$A$5:$A$404,C40,Clients!$B$5:$B$404,"Active")=0,"CLIENT NOT ACTIVE",IF(COUNTIF(Teams!$A$5:$A$104,D40)=0,"TEAM NOT FOUND","OK")))))</x:f>
      </x:c>
    </x:row>
    <x:row r="41">
      <x:c r="E41" s="102"/>
      <x:c r="G41" s="100" t="str">
        <x:f>IF(COUNTA(A41:F41)=0,"",IF(OR(A41="",B41="",C41="",D41=""),"COMPLETE ROW",IF(COUNTIF(Clients!$A$5:$A$404,C41)=0,"CLIENT NOT FOUND",IF(COUNTIFS(Clients!$A$5:$A$404,C41,Clients!$B$5:$B$404,"Active")=0,"CLIENT NOT ACTIVE",IF(COUNTIF(Teams!$A$5:$A$104,D41)=0,"TEAM NOT FOUND","OK")))))</x:f>
      </x:c>
    </x:row>
    <x:row r="42">
      <x:c r="E42" s="102"/>
      <x:c r="G42" s="100" t="str">
        <x:f>IF(COUNTA(A42:F42)=0,"",IF(OR(A42="",B42="",C42="",D42=""),"COMPLETE ROW",IF(COUNTIF(Clients!$A$5:$A$404,C42)=0,"CLIENT NOT FOUND",IF(COUNTIFS(Clients!$A$5:$A$404,C42,Clients!$B$5:$B$404,"Active")=0,"CLIENT NOT ACTIVE",IF(COUNTIF(Teams!$A$5:$A$104,D42)=0,"TEAM NOT FOUND","OK")))))</x:f>
      </x:c>
    </x:row>
    <x:row r="43">
      <x:c r="E43" s="102"/>
      <x:c r="G43" s="100" t="str">
        <x:f>IF(COUNTA(A43:F43)=0,"",IF(OR(A43="",B43="",C43="",D43=""),"COMPLETE ROW",IF(COUNTIF(Clients!$A$5:$A$404,C43)=0,"CLIENT NOT FOUND",IF(COUNTIFS(Clients!$A$5:$A$404,C43,Clients!$B$5:$B$404,"Active")=0,"CLIENT NOT ACTIVE",IF(COUNTIF(Teams!$A$5:$A$104,D43)=0,"TEAM NOT FOUND","OK")))))</x:f>
      </x:c>
    </x:row>
    <x:row r="44">
      <x:c r="E44" s="102"/>
      <x:c r="G44" s="100" t="str">
        <x:f>IF(COUNTA(A44:F44)=0,"",IF(OR(A44="",B44="",C44="",D44=""),"COMPLETE ROW",IF(COUNTIF(Clients!$A$5:$A$404,C44)=0,"CLIENT NOT FOUND",IF(COUNTIFS(Clients!$A$5:$A$404,C44,Clients!$B$5:$B$404,"Active")=0,"CLIENT NOT ACTIVE",IF(COUNTIF(Teams!$A$5:$A$104,D44)=0,"TEAM NOT FOUND","OK")))))</x:f>
      </x:c>
    </x:row>
    <x:row r="45">
      <x:c r="E45" s="102"/>
      <x:c r="G45" s="100" t="str">
        <x:f>IF(COUNTA(A45:F45)=0,"",IF(OR(A45="",B45="",C45="",D45=""),"COMPLETE ROW",IF(COUNTIF(Clients!$A$5:$A$404,C45)=0,"CLIENT NOT FOUND",IF(COUNTIFS(Clients!$A$5:$A$404,C45,Clients!$B$5:$B$404,"Active")=0,"CLIENT NOT ACTIVE",IF(COUNTIF(Teams!$A$5:$A$104,D45)=0,"TEAM NOT FOUND","OK")))))</x:f>
      </x:c>
    </x:row>
    <x:row r="46">
      <x:c r="E46" s="102"/>
      <x:c r="G46" s="100" t="str">
        <x:f>IF(COUNTA(A46:F46)=0,"",IF(OR(A46="",B46="",C46="",D46=""),"COMPLETE ROW",IF(COUNTIF(Clients!$A$5:$A$404,C46)=0,"CLIENT NOT FOUND",IF(COUNTIFS(Clients!$A$5:$A$404,C46,Clients!$B$5:$B$404,"Active")=0,"CLIENT NOT ACTIVE",IF(COUNTIF(Teams!$A$5:$A$104,D46)=0,"TEAM NOT FOUND","OK")))))</x:f>
      </x:c>
    </x:row>
    <x:row r="47">
      <x:c r="E47" s="102"/>
      <x:c r="G47" s="100" t="str">
        <x:f>IF(COUNTA(A47:F47)=0,"",IF(OR(A47="",B47="",C47="",D47=""),"COMPLETE ROW",IF(COUNTIF(Clients!$A$5:$A$404,C47)=0,"CLIENT NOT FOUND",IF(COUNTIFS(Clients!$A$5:$A$404,C47,Clients!$B$5:$B$404,"Active")=0,"CLIENT NOT ACTIVE",IF(COUNTIF(Teams!$A$5:$A$104,D47)=0,"TEAM NOT FOUND","OK")))))</x:f>
      </x:c>
    </x:row>
    <x:row r="48">
      <x:c r="E48" s="102"/>
      <x:c r="G48" s="100" t="str">
        <x:f>IF(COUNTA(A48:F48)=0,"",IF(OR(A48="",B48="",C48="",D48=""),"COMPLETE ROW",IF(COUNTIF(Clients!$A$5:$A$404,C48)=0,"CLIENT NOT FOUND",IF(COUNTIFS(Clients!$A$5:$A$404,C48,Clients!$B$5:$B$404,"Active")=0,"CLIENT NOT ACTIVE",IF(COUNTIF(Teams!$A$5:$A$104,D48)=0,"TEAM NOT FOUND","OK")))))</x:f>
      </x:c>
    </x:row>
    <x:row r="49">
      <x:c r="E49" s="102"/>
      <x:c r="G49" s="100" t="str">
        <x:f>IF(COUNTA(A49:F49)=0,"",IF(OR(A49="",B49="",C49="",D49=""),"COMPLETE ROW",IF(COUNTIF(Clients!$A$5:$A$404,C49)=0,"CLIENT NOT FOUND",IF(COUNTIFS(Clients!$A$5:$A$404,C49,Clients!$B$5:$B$404,"Active")=0,"CLIENT NOT ACTIVE",IF(COUNTIF(Teams!$A$5:$A$104,D49)=0,"TEAM NOT FOUND","OK")))))</x:f>
      </x:c>
    </x:row>
    <x:row r="50">
      <x:c r="E50" s="102"/>
      <x:c r="G50" s="100" t="str">
        <x:f>IF(COUNTA(A50:F50)=0,"",IF(OR(A50="",B50="",C50="",D50=""),"COMPLETE ROW",IF(COUNTIF(Clients!$A$5:$A$404,C50)=0,"CLIENT NOT FOUND",IF(COUNTIFS(Clients!$A$5:$A$404,C50,Clients!$B$5:$B$404,"Active")=0,"CLIENT NOT ACTIVE",IF(COUNTIF(Teams!$A$5:$A$104,D50)=0,"TEAM NOT FOUND","OK")))))</x:f>
      </x:c>
    </x:row>
    <x:row r="51">
      <x:c r="E51" s="102"/>
      <x:c r="G51" s="100" t="str">
        <x:f>IF(COUNTA(A51:F51)=0,"",IF(OR(A51="",B51="",C51="",D51=""),"COMPLETE ROW",IF(COUNTIF(Clients!$A$5:$A$404,C51)=0,"CLIENT NOT FOUND",IF(COUNTIFS(Clients!$A$5:$A$404,C51,Clients!$B$5:$B$404,"Active")=0,"CLIENT NOT ACTIVE",IF(COUNTIF(Teams!$A$5:$A$104,D51)=0,"TEAM NOT FOUND","OK")))))</x:f>
      </x:c>
    </x:row>
    <x:row r="52">
      <x:c r="E52" s="102"/>
      <x:c r="G52" s="100" t="str">
        <x:f>IF(COUNTA(A52:F52)=0,"",IF(OR(A52="",B52="",C52="",D52=""),"COMPLETE ROW",IF(COUNTIF(Clients!$A$5:$A$404,C52)=0,"CLIENT NOT FOUND",IF(COUNTIFS(Clients!$A$5:$A$404,C52,Clients!$B$5:$B$404,"Active")=0,"CLIENT NOT ACTIVE",IF(COUNTIF(Teams!$A$5:$A$104,D52)=0,"TEAM NOT FOUND","OK")))))</x:f>
      </x:c>
    </x:row>
    <x:row r="53">
      <x:c r="E53" s="102"/>
      <x:c r="G53" s="100" t="str">
        <x:f>IF(COUNTA(A53:F53)=0,"",IF(OR(A53="",B53="",C53="",D53=""),"COMPLETE ROW",IF(COUNTIF(Clients!$A$5:$A$404,C53)=0,"CLIENT NOT FOUND",IF(COUNTIFS(Clients!$A$5:$A$404,C53,Clients!$B$5:$B$404,"Active")=0,"CLIENT NOT ACTIVE",IF(COUNTIF(Teams!$A$5:$A$104,D53)=0,"TEAM NOT FOUND","OK")))))</x:f>
      </x:c>
    </x:row>
    <x:row r="54">
      <x:c r="E54" s="102"/>
      <x:c r="G54" s="100" t="str">
        <x:f>IF(COUNTA(A54:F54)=0,"",IF(OR(A54="",B54="",C54="",D54=""),"COMPLETE ROW",IF(COUNTIF(Clients!$A$5:$A$404,C54)=0,"CLIENT NOT FOUND",IF(COUNTIFS(Clients!$A$5:$A$404,C54,Clients!$B$5:$B$404,"Active")=0,"CLIENT NOT ACTIVE",IF(COUNTIF(Teams!$A$5:$A$104,D54)=0,"TEAM NOT FOUND","OK")))))</x:f>
      </x:c>
    </x:row>
    <x:row r="55">
      <x:c r="E55" s="102"/>
      <x:c r="G55" s="100" t="str">
        <x:f>IF(COUNTA(A55:F55)=0,"",IF(OR(A55="",B55="",C55="",D55=""),"COMPLETE ROW",IF(COUNTIF(Clients!$A$5:$A$404,C55)=0,"CLIENT NOT FOUND",IF(COUNTIFS(Clients!$A$5:$A$404,C55,Clients!$B$5:$B$404,"Active")=0,"CLIENT NOT ACTIVE",IF(COUNTIF(Teams!$A$5:$A$104,D55)=0,"TEAM NOT FOUND","OK")))))</x:f>
      </x:c>
    </x:row>
    <x:row r="56">
      <x:c r="E56" s="102"/>
      <x:c r="G56" s="100" t="str">
        <x:f>IF(COUNTA(A56:F56)=0,"",IF(OR(A56="",B56="",C56="",D56=""),"COMPLETE ROW",IF(COUNTIF(Clients!$A$5:$A$404,C56)=0,"CLIENT NOT FOUND",IF(COUNTIFS(Clients!$A$5:$A$404,C56,Clients!$B$5:$B$404,"Active")=0,"CLIENT NOT ACTIVE",IF(COUNTIF(Teams!$A$5:$A$104,D56)=0,"TEAM NOT FOUND","OK")))))</x:f>
      </x:c>
    </x:row>
    <x:row r="57">
      <x:c r="E57" s="102"/>
      <x:c r="G57" s="100" t="str">
        <x:f>IF(COUNTA(A57:F57)=0,"",IF(OR(A57="",B57="",C57="",D57=""),"COMPLETE ROW",IF(COUNTIF(Clients!$A$5:$A$404,C57)=0,"CLIENT NOT FOUND",IF(COUNTIFS(Clients!$A$5:$A$404,C57,Clients!$B$5:$B$404,"Active")=0,"CLIENT NOT ACTIVE",IF(COUNTIF(Teams!$A$5:$A$104,D57)=0,"TEAM NOT FOUND","OK")))))</x:f>
      </x:c>
    </x:row>
    <x:row r="58">
      <x:c r="E58" s="102"/>
      <x:c r="G58" s="100" t="str">
        <x:f>IF(COUNTA(A58:F58)=0,"",IF(OR(A58="",B58="",C58="",D58=""),"COMPLETE ROW",IF(COUNTIF(Clients!$A$5:$A$404,C58)=0,"CLIENT NOT FOUND",IF(COUNTIFS(Clients!$A$5:$A$404,C58,Clients!$B$5:$B$404,"Active")=0,"CLIENT NOT ACTIVE",IF(COUNTIF(Teams!$A$5:$A$104,D58)=0,"TEAM NOT FOUND","OK")))))</x:f>
      </x:c>
    </x:row>
    <x:row r="59">
      <x:c r="E59" s="102"/>
      <x:c r="G59" s="100" t="str">
        <x:f>IF(COUNTA(A59:F59)=0,"",IF(OR(A59="",B59="",C59="",D59=""),"COMPLETE ROW",IF(COUNTIF(Clients!$A$5:$A$404,C59)=0,"CLIENT NOT FOUND",IF(COUNTIFS(Clients!$A$5:$A$404,C59,Clients!$B$5:$B$404,"Active")=0,"CLIENT NOT ACTIVE",IF(COUNTIF(Teams!$A$5:$A$104,D59)=0,"TEAM NOT FOUND","OK")))))</x:f>
      </x:c>
    </x:row>
    <x:row r="60">
      <x:c r="E60" s="102"/>
      <x:c r="G60" s="100" t="str">
        <x:f>IF(COUNTA(A60:F60)=0,"",IF(OR(A60="",B60="",C60="",D60=""),"COMPLETE ROW",IF(COUNTIF(Clients!$A$5:$A$404,C60)=0,"CLIENT NOT FOUND",IF(COUNTIFS(Clients!$A$5:$A$404,C60,Clients!$B$5:$B$404,"Active")=0,"CLIENT NOT ACTIVE",IF(COUNTIF(Teams!$A$5:$A$104,D60)=0,"TEAM NOT FOUND","OK")))))</x:f>
      </x:c>
    </x:row>
    <x:row r="61">
      <x:c r="E61" s="102"/>
      <x:c r="G61" s="100" t="str">
        <x:f>IF(COUNTA(A61:F61)=0,"",IF(OR(A61="",B61="",C61="",D61=""),"COMPLETE ROW",IF(COUNTIF(Clients!$A$5:$A$404,C61)=0,"CLIENT NOT FOUND",IF(COUNTIFS(Clients!$A$5:$A$404,C61,Clients!$B$5:$B$404,"Active")=0,"CLIENT NOT ACTIVE",IF(COUNTIF(Teams!$A$5:$A$104,D61)=0,"TEAM NOT FOUND","OK")))))</x:f>
      </x:c>
    </x:row>
    <x:row r="62">
      <x:c r="E62" s="102"/>
      <x:c r="G62" s="100" t="str">
        <x:f>IF(COUNTA(A62:F62)=0,"",IF(OR(A62="",B62="",C62="",D62=""),"COMPLETE ROW",IF(COUNTIF(Clients!$A$5:$A$404,C62)=0,"CLIENT NOT FOUND",IF(COUNTIFS(Clients!$A$5:$A$404,C62,Clients!$B$5:$B$404,"Active")=0,"CLIENT NOT ACTIVE",IF(COUNTIF(Teams!$A$5:$A$104,D62)=0,"TEAM NOT FOUND","OK")))))</x:f>
      </x:c>
    </x:row>
    <x:row r="63">
      <x:c r="E63" s="102"/>
      <x:c r="G63" s="100" t="str">
        <x:f>IF(COUNTA(A63:F63)=0,"",IF(OR(A63="",B63="",C63="",D63=""),"COMPLETE ROW",IF(COUNTIF(Clients!$A$5:$A$404,C63)=0,"CLIENT NOT FOUND",IF(COUNTIFS(Clients!$A$5:$A$404,C63,Clients!$B$5:$B$404,"Active")=0,"CLIENT NOT ACTIVE",IF(COUNTIF(Teams!$A$5:$A$104,D63)=0,"TEAM NOT FOUND","OK")))))</x:f>
      </x:c>
    </x:row>
    <x:row r="64">
      <x:c r="E64" s="102"/>
      <x:c r="G64" s="100" t="str">
        <x:f>IF(COUNTA(A64:F64)=0,"",IF(OR(A64="",B64="",C64="",D64=""),"COMPLETE ROW",IF(COUNTIF(Clients!$A$5:$A$404,C64)=0,"CLIENT NOT FOUND",IF(COUNTIFS(Clients!$A$5:$A$404,C64,Clients!$B$5:$B$404,"Active")=0,"CLIENT NOT ACTIVE",IF(COUNTIF(Teams!$A$5:$A$104,D64)=0,"TEAM NOT FOUND","OK")))))</x:f>
      </x:c>
    </x:row>
    <x:row r="65">
      <x:c r="E65" s="102"/>
      <x:c r="G65" s="100" t="str">
        <x:f>IF(COUNTA(A65:F65)=0,"",IF(OR(A65="",B65="",C65="",D65=""),"COMPLETE ROW",IF(COUNTIF(Clients!$A$5:$A$404,C65)=0,"CLIENT NOT FOUND",IF(COUNTIFS(Clients!$A$5:$A$404,C65,Clients!$B$5:$B$404,"Active")=0,"CLIENT NOT ACTIVE",IF(COUNTIF(Teams!$A$5:$A$104,D65)=0,"TEAM NOT FOUND","OK")))))</x:f>
      </x:c>
    </x:row>
    <x:row r="66">
      <x:c r="E66" s="102"/>
      <x:c r="G66" s="100" t="str">
        <x:f>IF(COUNTA(A66:F66)=0,"",IF(OR(A66="",B66="",C66="",D66=""),"COMPLETE ROW",IF(COUNTIF(Clients!$A$5:$A$404,C66)=0,"CLIENT NOT FOUND",IF(COUNTIFS(Clients!$A$5:$A$404,C66,Clients!$B$5:$B$404,"Active")=0,"CLIENT NOT ACTIVE",IF(COUNTIF(Teams!$A$5:$A$104,D66)=0,"TEAM NOT FOUND","OK")))))</x:f>
      </x:c>
    </x:row>
    <x:row r="67">
      <x:c r="E67" s="102"/>
      <x:c r="G67" s="100" t="str">
        <x:f>IF(COUNTA(A67:F67)=0,"",IF(OR(A67="",B67="",C67="",D67=""),"COMPLETE ROW",IF(COUNTIF(Clients!$A$5:$A$404,C67)=0,"CLIENT NOT FOUND",IF(COUNTIFS(Clients!$A$5:$A$404,C67,Clients!$B$5:$B$404,"Active")=0,"CLIENT NOT ACTIVE",IF(COUNTIF(Teams!$A$5:$A$104,D67)=0,"TEAM NOT FOUND","OK")))))</x:f>
      </x:c>
    </x:row>
    <x:row r="68">
      <x:c r="E68" s="102"/>
      <x:c r="G68" s="100" t="str">
        <x:f>IF(COUNTA(A68:F68)=0,"",IF(OR(A68="",B68="",C68="",D68=""),"COMPLETE ROW",IF(COUNTIF(Clients!$A$5:$A$404,C68)=0,"CLIENT NOT FOUND",IF(COUNTIFS(Clients!$A$5:$A$404,C68,Clients!$B$5:$B$404,"Active")=0,"CLIENT NOT ACTIVE",IF(COUNTIF(Teams!$A$5:$A$104,D68)=0,"TEAM NOT FOUND","OK")))))</x:f>
      </x:c>
    </x:row>
    <x:row r="69">
      <x:c r="E69" s="102"/>
      <x:c r="G69" s="100" t="str">
        <x:f>IF(COUNTA(A69:F69)=0,"",IF(OR(A69="",B69="",C69="",D69=""),"COMPLETE ROW",IF(COUNTIF(Clients!$A$5:$A$404,C69)=0,"CLIENT NOT FOUND",IF(COUNTIFS(Clients!$A$5:$A$404,C69,Clients!$B$5:$B$404,"Active")=0,"CLIENT NOT ACTIVE",IF(COUNTIF(Teams!$A$5:$A$104,D69)=0,"TEAM NOT FOUND","OK")))))</x:f>
      </x:c>
    </x:row>
    <x:row r="70">
      <x:c r="E70" s="102"/>
      <x:c r="G70" s="100" t="str">
        <x:f>IF(COUNTA(A70:F70)=0,"",IF(OR(A70="",B70="",C70="",D70=""),"COMPLETE ROW",IF(COUNTIF(Clients!$A$5:$A$404,C70)=0,"CLIENT NOT FOUND",IF(COUNTIFS(Clients!$A$5:$A$404,C70,Clients!$B$5:$B$404,"Active")=0,"CLIENT NOT ACTIVE",IF(COUNTIF(Teams!$A$5:$A$104,D70)=0,"TEAM NOT FOUND","OK")))))</x:f>
      </x:c>
    </x:row>
    <x:row r="71">
      <x:c r="E71" s="102"/>
      <x:c r="G71" s="100" t="str">
        <x:f>IF(COUNTA(A71:F71)=0,"",IF(OR(A71="",B71="",C71="",D71=""),"COMPLETE ROW",IF(COUNTIF(Clients!$A$5:$A$404,C71)=0,"CLIENT NOT FOUND",IF(COUNTIFS(Clients!$A$5:$A$404,C71,Clients!$B$5:$B$404,"Active")=0,"CLIENT NOT ACTIVE",IF(COUNTIF(Teams!$A$5:$A$104,D71)=0,"TEAM NOT FOUND","OK")))))</x:f>
      </x:c>
    </x:row>
    <x:row r="72">
      <x:c r="E72" s="102"/>
      <x:c r="G72" s="100" t="str">
        <x:f>IF(COUNTA(A72:F72)=0,"",IF(OR(A72="",B72="",C72="",D72=""),"COMPLETE ROW",IF(COUNTIF(Clients!$A$5:$A$404,C72)=0,"CLIENT NOT FOUND",IF(COUNTIFS(Clients!$A$5:$A$404,C72,Clients!$B$5:$B$404,"Active")=0,"CLIENT NOT ACTIVE",IF(COUNTIF(Teams!$A$5:$A$104,D72)=0,"TEAM NOT FOUND","OK")))))</x:f>
      </x:c>
    </x:row>
    <x:row r="73">
      <x:c r="E73" s="102"/>
      <x:c r="G73" s="100" t="str">
        <x:f>IF(COUNTA(A73:F73)=0,"",IF(OR(A73="",B73="",C73="",D73=""),"COMPLETE ROW",IF(COUNTIF(Clients!$A$5:$A$404,C73)=0,"CLIENT NOT FOUND",IF(COUNTIFS(Clients!$A$5:$A$404,C73,Clients!$B$5:$B$404,"Active")=0,"CLIENT NOT ACTIVE",IF(COUNTIF(Teams!$A$5:$A$104,D73)=0,"TEAM NOT FOUND","OK")))))</x:f>
      </x:c>
    </x:row>
    <x:row r="74">
      <x:c r="E74" s="102"/>
      <x:c r="G74" s="100" t="str">
        <x:f>IF(COUNTA(A74:F74)=0,"",IF(OR(A74="",B74="",C74="",D74=""),"COMPLETE ROW",IF(COUNTIF(Clients!$A$5:$A$404,C74)=0,"CLIENT NOT FOUND",IF(COUNTIFS(Clients!$A$5:$A$404,C74,Clients!$B$5:$B$404,"Active")=0,"CLIENT NOT ACTIVE",IF(COUNTIF(Teams!$A$5:$A$104,D74)=0,"TEAM NOT FOUND","OK")))))</x:f>
      </x:c>
    </x:row>
    <x:row r="75">
      <x:c r="E75" s="102"/>
      <x:c r="G75" s="100" t="str">
        <x:f>IF(COUNTA(A75:F75)=0,"",IF(OR(A75="",B75="",C75="",D75=""),"COMPLETE ROW",IF(COUNTIF(Clients!$A$5:$A$404,C75)=0,"CLIENT NOT FOUND",IF(COUNTIFS(Clients!$A$5:$A$404,C75,Clients!$B$5:$B$404,"Active")=0,"CLIENT NOT ACTIVE",IF(COUNTIF(Teams!$A$5:$A$104,D75)=0,"TEAM NOT FOUND","OK")))))</x:f>
      </x:c>
    </x:row>
    <x:row r="76">
      <x:c r="E76" s="102"/>
      <x:c r="G76" s="100" t="str">
        <x:f>IF(COUNTA(A76:F76)=0,"",IF(OR(A76="",B76="",C76="",D76=""),"COMPLETE ROW",IF(COUNTIF(Clients!$A$5:$A$404,C76)=0,"CLIENT NOT FOUND",IF(COUNTIFS(Clients!$A$5:$A$404,C76,Clients!$B$5:$B$404,"Active")=0,"CLIENT NOT ACTIVE",IF(COUNTIF(Teams!$A$5:$A$104,D76)=0,"TEAM NOT FOUND","OK")))))</x:f>
      </x:c>
    </x:row>
    <x:row r="77">
      <x:c r="E77" s="102"/>
      <x:c r="G77" s="100" t="str">
        <x:f>IF(COUNTA(A77:F77)=0,"",IF(OR(A77="",B77="",C77="",D77=""),"COMPLETE ROW",IF(COUNTIF(Clients!$A$5:$A$404,C77)=0,"CLIENT NOT FOUND",IF(COUNTIFS(Clients!$A$5:$A$404,C77,Clients!$B$5:$B$404,"Active")=0,"CLIENT NOT ACTIVE",IF(COUNTIF(Teams!$A$5:$A$104,D77)=0,"TEAM NOT FOUND","OK")))))</x:f>
      </x:c>
    </x:row>
    <x:row r="78">
      <x:c r="E78" s="102"/>
      <x:c r="G78" s="100" t="str">
        <x:f>IF(COUNTA(A78:F78)=0,"",IF(OR(A78="",B78="",C78="",D78=""),"COMPLETE ROW",IF(COUNTIF(Clients!$A$5:$A$404,C78)=0,"CLIENT NOT FOUND",IF(COUNTIFS(Clients!$A$5:$A$404,C78,Clients!$B$5:$B$404,"Active")=0,"CLIENT NOT ACTIVE",IF(COUNTIF(Teams!$A$5:$A$104,D78)=0,"TEAM NOT FOUND","OK")))))</x:f>
      </x:c>
    </x:row>
    <x:row r="79">
      <x:c r="E79" s="102"/>
      <x:c r="G79" s="100" t="str">
        <x:f>IF(COUNTA(A79:F79)=0,"",IF(OR(A79="",B79="",C79="",D79=""),"COMPLETE ROW",IF(COUNTIF(Clients!$A$5:$A$404,C79)=0,"CLIENT NOT FOUND",IF(COUNTIFS(Clients!$A$5:$A$404,C79,Clients!$B$5:$B$404,"Active")=0,"CLIENT NOT ACTIVE",IF(COUNTIF(Teams!$A$5:$A$104,D79)=0,"TEAM NOT FOUND","OK")))))</x:f>
      </x:c>
    </x:row>
    <x:row r="80">
      <x:c r="E80" s="102"/>
      <x:c r="G80" s="100" t="str">
        <x:f>IF(COUNTA(A80:F80)=0,"",IF(OR(A80="",B80="",C80="",D80=""),"COMPLETE ROW",IF(COUNTIF(Clients!$A$5:$A$404,C80)=0,"CLIENT NOT FOUND",IF(COUNTIFS(Clients!$A$5:$A$404,C80,Clients!$B$5:$B$404,"Active")=0,"CLIENT NOT ACTIVE",IF(COUNTIF(Teams!$A$5:$A$104,D80)=0,"TEAM NOT FOUND","OK")))))</x:f>
      </x:c>
    </x:row>
    <x:row r="81">
      <x:c r="E81" s="102"/>
      <x:c r="G81" s="100" t="str">
        <x:f>IF(COUNTA(A81:F81)=0,"",IF(OR(A81="",B81="",C81="",D81=""),"COMPLETE ROW",IF(COUNTIF(Clients!$A$5:$A$404,C81)=0,"CLIENT NOT FOUND",IF(COUNTIFS(Clients!$A$5:$A$404,C81,Clients!$B$5:$B$404,"Active")=0,"CLIENT NOT ACTIVE",IF(COUNTIF(Teams!$A$5:$A$104,D81)=0,"TEAM NOT FOUND","OK")))))</x:f>
      </x:c>
    </x:row>
    <x:row r="82">
      <x:c r="E82" s="102"/>
      <x:c r="G82" s="100" t="str">
        <x:f>IF(COUNTA(A82:F82)=0,"",IF(OR(A82="",B82="",C82="",D82=""),"COMPLETE ROW",IF(COUNTIF(Clients!$A$5:$A$404,C82)=0,"CLIENT NOT FOUND",IF(COUNTIFS(Clients!$A$5:$A$404,C82,Clients!$B$5:$B$404,"Active")=0,"CLIENT NOT ACTIVE",IF(COUNTIF(Teams!$A$5:$A$104,D82)=0,"TEAM NOT FOUND","OK")))))</x:f>
      </x:c>
    </x:row>
    <x:row r="83">
      <x:c r="E83" s="102"/>
      <x:c r="G83" s="100" t="str">
        <x:f>IF(COUNTA(A83:F83)=0,"",IF(OR(A83="",B83="",C83="",D83=""),"COMPLETE ROW",IF(COUNTIF(Clients!$A$5:$A$404,C83)=0,"CLIENT NOT FOUND",IF(COUNTIFS(Clients!$A$5:$A$404,C83,Clients!$B$5:$B$404,"Active")=0,"CLIENT NOT ACTIVE",IF(COUNTIF(Teams!$A$5:$A$104,D83)=0,"TEAM NOT FOUND","OK")))))</x:f>
      </x:c>
    </x:row>
    <x:row r="84">
      <x:c r="E84" s="102"/>
      <x:c r="G84" s="100" t="str">
        <x:f>IF(COUNTA(A84:F84)=0,"",IF(OR(A84="",B84="",C84="",D84=""),"COMPLETE ROW",IF(COUNTIF(Clients!$A$5:$A$404,C84)=0,"CLIENT NOT FOUND",IF(COUNTIFS(Clients!$A$5:$A$404,C84,Clients!$B$5:$B$404,"Active")=0,"CLIENT NOT ACTIVE",IF(COUNTIF(Teams!$A$5:$A$104,D84)=0,"TEAM NOT FOUND","OK")))))</x:f>
      </x:c>
    </x:row>
    <x:row r="85">
      <x:c r="E85" s="102"/>
      <x:c r="G85" s="100" t="str">
        <x:f>IF(COUNTA(A85:F85)=0,"",IF(OR(A85="",B85="",C85="",D85=""),"COMPLETE ROW",IF(COUNTIF(Clients!$A$5:$A$404,C85)=0,"CLIENT NOT FOUND",IF(COUNTIFS(Clients!$A$5:$A$404,C85,Clients!$B$5:$B$404,"Active")=0,"CLIENT NOT ACTIVE",IF(COUNTIF(Teams!$A$5:$A$104,D85)=0,"TEAM NOT FOUND","OK")))))</x:f>
      </x:c>
    </x:row>
    <x:row r="86">
      <x:c r="E86" s="102"/>
      <x:c r="G86" s="100" t="str">
        <x:f>IF(COUNTA(A86:F86)=0,"",IF(OR(A86="",B86="",C86="",D86=""),"COMPLETE ROW",IF(COUNTIF(Clients!$A$5:$A$404,C86)=0,"CLIENT NOT FOUND",IF(COUNTIFS(Clients!$A$5:$A$404,C86,Clients!$B$5:$B$404,"Active")=0,"CLIENT NOT ACTIVE",IF(COUNTIF(Teams!$A$5:$A$104,D86)=0,"TEAM NOT FOUND","OK")))))</x:f>
      </x:c>
    </x:row>
    <x:row r="87">
      <x:c r="E87" s="102"/>
      <x:c r="G87" s="100" t="str">
        <x:f>IF(COUNTA(A87:F87)=0,"",IF(OR(A87="",B87="",C87="",D87=""),"COMPLETE ROW",IF(COUNTIF(Clients!$A$5:$A$404,C87)=0,"CLIENT NOT FOUND",IF(COUNTIFS(Clients!$A$5:$A$404,C87,Clients!$B$5:$B$404,"Active")=0,"CLIENT NOT ACTIVE",IF(COUNTIF(Teams!$A$5:$A$104,D87)=0,"TEAM NOT FOUND","OK")))))</x:f>
      </x:c>
    </x:row>
    <x:row r="88">
      <x:c r="E88" s="102"/>
      <x:c r="G88" s="100" t="str">
        <x:f>IF(COUNTA(A88:F88)=0,"",IF(OR(A88="",B88="",C88="",D88=""),"COMPLETE ROW",IF(COUNTIF(Clients!$A$5:$A$404,C88)=0,"CLIENT NOT FOUND",IF(COUNTIFS(Clients!$A$5:$A$404,C88,Clients!$B$5:$B$404,"Active")=0,"CLIENT NOT ACTIVE",IF(COUNTIF(Teams!$A$5:$A$104,D88)=0,"TEAM NOT FOUND","OK")))))</x:f>
      </x:c>
    </x:row>
    <x:row r="89">
      <x:c r="E89" s="102"/>
      <x:c r="G89" s="100" t="str">
        <x:f>IF(COUNTA(A89:F89)=0,"",IF(OR(A89="",B89="",C89="",D89=""),"COMPLETE ROW",IF(COUNTIF(Clients!$A$5:$A$404,C89)=0,"CLIENT NOT FOUND",IF(COUNTIFS(Clients!$A$5:$A$404,C89,Clients!$B$5:$B$404,"Active")=0,"CLIENT NOT ACTIVE",IF(COUNTIF(Teams!$A$5:$A$104,D89)=0,"TEAM NOT FOUND","OK")))))</x:f>
      </x:c>
    </x:row>
    <x:row r="90">
      <x:c r="E90" s="102"/>
      <x:c r="G90" s="100" t="str">
        <x:f>IF(COUNTA(A90:F90)=0,"",IF(OR(A90="",B90="",C90="",D90=""),"COMPLETE ROW",IF(COUNTIF(Clients!$A$5:$A$404,C90)=0,"CLIENT NOT FOUND",IF(COUNTIFS(Clients!$A$5:$A$404,C90,Clients!$B$5:$B$404,"Active")=0,"CLIENT NOT ACTIVE",IF(COUNTIF(Teams!$A$5:$A$104,D90)=0,"TEAM NOT FOUND","OK")))))</x:f>
      </x:c>
    </x:row>
    <x:row r="91">
      <x:c r="E91" s="102"/>
      <x:c r="G91" s="100" t="str">
        <x:f>IF(COUNTA(A91:F91)=0,"",IF(OR(A91="",B91="",C91="",D91=""),"COMPLETE ROW",IF(COUNTIF(Clients!$A$5:$A$404,C91)=0,"CLIENT NOT FOUND",IF(COUNTIFS(Clients!$A$5:$A$404,C91,Clients!$B$5:$B$404,"Active")=0,"CLIENT NOT ACTIVE",IF(COUNTIF(Teams!$A$5:$A$104,D91)=0,"TEAM NOT FOUND","OK")))))</x:f>
      </x:c>
    </x:row>
    <x:row r="92">
      <x:c r="E92" s="102"/>
      <x:c r="G92" s="100" t="str">
        <x:f>IF(COUNTA(A92:F92)=0,"",IF(OR(A92="",B92="",C92="",D92=""),"COMPLETE ROW",IF(COUNTIF(Clients!$A$5:$A$404,C92)=0,"CLIENT NOT FOUND",IF(COUNTIFS(Clients!$A$5:$A$404,C92,Clients!$B$5:$B$404,"Active")=0,"CLIENT NOT ACTIVE",IF(COUNTIF(Teams!$A$5:$A$104,D92)=0,"TEAM NOT FOUND","OK")))))</x:f>
      </x:c>
    </x:row>
    <x:row r="93">
      <x:c r="E93" s="102"/>
      <x:c r="G93" s="100" t="str">
        <x:f>IF(COUNTA(A93:F93)=0,"",IF(OR(A93="",B93="",C93="",D93=""),"COMPLETE ROW",IF(COUNTIF(Clients!$A$5:$A$404,C93)=0,"CLIENT NOT FOUND",IF(COUNTIFS(Clients!$A$5:$A$404,C93,Clients!$B$5:$B$404,"Active")=0,"CLIENT NOT ACTIVE",IF(COUNTIF(Teams!$A$5:$A$104,D93)=0,"TEAM NOT FOUND","OK")))))</x:f>
      </x:c>
    </x:row>
    <x:row r="94">
      <x:c r="E94" s="102"/>
      <x:c r="G94" s="100" t="str">
        <x:f>IF(COUNTA(A94:F94)=0,"",IF(OR(A94="",B94="",C94="",D94=""),"COMPLETE ROW",IF(COUNTIF(Clients!$A$5:$A$404,C94)=0,"CLIENT NOT FOUND",IF(COUNTIFS(Clients!$A$5:$A$404,C94,Clients!$B$5:$B$404,"Active")=0,"CLIENT NOT ACTIVE",IF(COUNTIF(Teams!$A$5:$A$104,D94)=0,"TEAM NOT FOUND","OK")))))</x:f>
      </x:c>
    </x:row>
    <x:row r="95">
      <x:c r="E95" s="102"/>
      <x:c r="G95" s="100" t="str">
        <x:f>IF(COUNTA(A95:F95)=0,"",IF(OR(A95="",B95="",C95="",D95=""),"COMPLETE ROW",IF(COUNTIF(Clients!$A$5:$A$404,C95)=0,"CLIENT NOT FOUND",IF(COUNTIFS(Clients!$A$5:$A$404,C95,Clients!$B$5:$B$404,"Active")=0,"CLIENT NOT ACTIVE",IF(COUNTIF(Teams!$A$5:$A$104,D95)=0,"TEAM NOT FOUND","OK")))))</x:f>
      </x:c>
    </x:row>
    <x:row r="96">
      <x:c r="E96" s="102"/>
      <x:c r="G96" s="100" t="str">
        <x:f>IF(COUNTA(A96:F96)=0,"",IF(OR(A96="",B96="",C96="",D96=""),"COMPLETE ROW",IF(COUNTIF(Clients!$A$5:$A$404,C96)=0,"CLIENT NOT FOUND",IF(COUNTIFS(Clients!$A$5:$A$404,C96,Clients!$B$5:$B$404,"Active")=0,"CLIENT NOT ACTIVE",IF(COUNTIF(Teams!$A$5:$A$104,D96)=0,"TEAM NOT FOUND","OK")))))</x:f>
      </x:c>
    </x:row>
    <x:row r="97">
      <x:c r="E97" s="102"/>
      <x:c r="G97" s="100" t="str">
        <x:f>IF(COUNTA(A97:F97)=0,"",IF(OR(A97="",B97="",C97="",D97=""),"COMPLETE ROW",IF(COUNTIF(Clients!$A$5:$A$404,C97)=0,"CLIENT NOT FOUND",IF(COUNTIFS(Clients!$A$5:$A$404,C97,Clients!$B$5:$B$404,"Active")=0,"CLIENT NOT ACTIVE",IF(COUNTIF(Teams!$A$5:$A$104,D97)=0,"TEAM NOT FOUND","OK")))))</x:f>
      </x:c>
    </x:row>
    <x:row r="98">
      <x:c r="E98" s="102"/>
      <x:c r="G98" s="100" t="str">
        <x:f>IF(COUNTA(A98:F98)=0,"",IF(OR(A98="",B98="",C98="",D98=""),"COMPLETE ROW",IF(COUNTIF(Clients!$A$5:$A$404,C98)=0,"CLIENT NOT FOUND",IF(COUNTIFS(Clients!$A$5:$A$404,C98,Clients!$B$5:$B$404,"Active")=0,"CLIENT NOT ACTIVE",IF(COUNTIF(Teams!$A$5:$A$104,D98)=0,"TEAM NOT FOUND","OK")))))</x:f>
      </x:c>
    </x:row>
    <x:row r="99">
      <x:c r="E99" s="102"/>
      <x:c r="G99" s="100" t="str">
        <x:f>IF(COUNTA(A99:F99)=0,"",IF(OR(A99="",B99="",C99="",D99=""),"COMPLETE ROW",IF(COUNTIF(Clients!$A$5:$A$404,C99)=0,"CLIENT NOT FOUND",IF(COUNTIFS(Clients!$A$5:$A$404,C99,Clients!$B$5:$B$404,"Active")=0,"CLIENT NOT ACTIVE",IF(COUNTIF(Teams!$A$5:$A$104,D99)=0,"TEAM NOT FOUND","OK")))))</x:f>
      </x:c>
    </x:row>
    <x:row r="100">
      <x:c r="E100" s="102"/>
      <x:c r="G100" s="100" t="str">
        <x:f>IF(COUNTA(A100:F100)=0,"",IF(OR(A100="",B100="",C100="",D100=""),"COMPLETE ROW",IF(COUNTIF(Clients!$A$5:$A$404,C100)=0,"CLIENT NOT FOUND",IF(COUNTIFS(Clients!$A$5:$A$404,C100,Clients!$B$5:$B$404,"Active")=0,"CLIENT NOT ACTIVE",IF(COUNTIF(Teams!$A$5:$A$104,D100)=0,"TEAM NOT FOUND","OK")))))</x:f>
      </x:c>
    </x:row>
    <x:row r="101">
      <x:c r="E101" s="102"/>
      <x:c r="G101" s="100" t="str">
        <x:f>IF(COUNTA(A101:F101)=0,"",IF(OR(A101="",B101="",C101="",D101=""),"COMPLETE ROW",IF(COUNTIF(Clients!$A$5:$A$404,C101)=0,"CLIENT NOT FOUND",IF(COUNTIFS(Clients!$A$5:$A$404,C101,Clients!$B$5:$B$404,"Active")=0,"CLIENT NOT ACTIVE",IF(COUNTIF(Teams!$A$5:$A$104,D101)=0,"TEAM NOT FOUND","OK")))))</x:f>
      </x:c>
    </x:row>
    <x:row r="102">
      <x:c r="E102" s="102"/>
      <x:c r="G102" s="100" t="str">
        <x:f>IF(COUNTA(A102:F102)=0,"",IF(OR(A102="",B102="",C102="",D102=""),"COMPLETE ROW",IF(COUNTIF(Clients!$A$5:$A$404,C102)=0,"CLIENT NOT FOUND",IF(COUNTIFS(Clients!$A$5:$A$404,C102,Clients!$B$5:$B$404,"Active")=0,"CLIENT NOT ACTIVE",IF(COUNTIF(Teams!$A$5:$A$104,D102)=0,"TEAM NOT FOUND","OK")))))</x:f>
      </x:c>
    </x:row>
    <x:row r="103">
      <x:c r="E103" s="102"/>
      <x:c r="G103" s="100" t="str">
        <x:f>IF(COUNTA(A103:F103)=0,"",IF(OR(A103="",B103="",C103="",D103=""),"COMPLETE ROW",IF(COUNTIF(Clients!$A$5:$A$404,C103)=0,"CLIENT NOT FOUND",IF(COUNTIFS(Clients!$A$5:$A$404,C103,Clients!$B$5:$B$404,"Active")=0,"CLIENT NOT ACTIVE",IF(COUNTIF(Teams!$A$5:$A$104,D103)=0,"TEAM NOT FOUND","OK")))))</x:f>
      </x:c>
    </x:row>
    <x:row r="104">
      <x:c r="E104" s="102"/>
      <x:c r="G104" s="100" t="str">
        <x:f>IF(COUNTA(A104:F104)=0,"",IF(OR(A104="",B104="",C104="",D104=""),"COMPLETE ROW",IF(COUNTIF(Clients!$A$5:$A$404,C104)=0,"CLIENT NOT FOUND",IF(COUNTIFS(Clients!$A$5:$A$404,C104,Clients!$B$5:$B$404,"Active")=0,"CLIENT NOT ACTIVE",IF(COUNTIF(Teams!$A$5:$A$104,D104)=0,"TEAM NOT FOUND","OK")))))</x:f>
      </x:c>
    </x:row>
    <x:row r="105">
      <x:c r="E105" s="102"/>
      <x:c r="G105" s="100" t="str">
        <x:f>IF(COUNTA(A105:F105)=0,"",IF(OR(A105="",B105="",C105="",D105=""),"COMPLETE ROW",IF(COUNTIF(Clients!$A$5:$A$404,C105)=0,"CLIENT NOT FOUND",IF(COUNTIFS(Clients!$A$5:$A$404,C105,Clients!$B$5:$B$404,"Active")=0,"CLIENT NOT ACTIVE",IF(COUNTIF(Teams!$A$5:$A$104,D105)=0,"TEAM NOT FOUND","OK")))))</x:f>
      </x:c>
    </x:row>
    <x:row r="106">
      <x:c r="E106" s="102"/>
      <x:c r="G106" s="100" t="str">
        <x:f>IF(COUNTA(A106:F106)=0,"",IF(OR(A106="",B106="",C106="",D106=""),"COMPLETE ROW",IF(COUNTIF(Clients!$A$5:$A$404,C106)=0,"CLIENT NOT FOUND",IF(COUNTIFS(Clients!$A$5:$A$404,C106,Clients!$B$5:$B$404,"Active")=0,"CLIENT NOT ACTIVE",IF(COUNTIF(Teams!$A$5:$A$104,D106)=0,"TEAM NOT FOUND","OK")))))</x:f>
      </x:c>
    </x:row>
    <x:row r="107">
      <x:c r="E107" s="102"/>
      <x:c r="G107" s="100" t="str">
        <x:f>IF(COUNTA(A107:F107)=0,"",IF(OR(A107="",B107="",C107="",D107=""),"COMPLETE ROW",IF(COUNTIF(Clients!$A$5:$A$404,C107)=0,"CLIENT NOT FOUND",IF(COUNTIFS(Clients!$A$5:$A$404,C107,Clients!$B$5:$B$404,"Active")=0,"CLIENT NOT ACTIVE",IF(COUNTIF(Teams!$A$5:$A$104,D107)=0,"TEAM NOT FOUND","OK")))))</x:f>
      </x:c>
    </x:row>
    <x:row r="108">
      <x:c r="E108" s="102"/>
      <x:c r="G108" s="100" t="str">
        <x:f>IF(COUNTA(A108:F108)=0,"",IF(OR(A108="",B108="",C108="",D108=""),"COMPLETE ROW",IF(COUNTIF(Clients!$A$5:$A$404,C108)=0,"CLIENT NOT FOUND",IF(COUNTIFS(Clients!$A$5:$A$404,C108,Clients!$B$5:$B$404,"Active")=0,"CLIENT NOT ACTIVE",IF(COUNTIF(Teams!$A$5:$A$104,D108)=0,"TEAM NOT FOUND","OK")))))</x:f>
      </x:c>
    </x:row>
    <x:row r="109">
      <x:c r="E109" s="102"/>
      <x:c r="G109" s="100" t="str">
        <x:f>IF(COUNTA(A109:F109)=0,"",IF(OR(A109="",B109="",C109="",D109=""),"COMPLETE ROW",IF(COUNTIF(Clients!$A$5:$A$404,C109)=0,"CLIENT NOT FOUND",IF(COUNTIFS(Clients!$A$5:$A$404,C109,Clients!$B$5:$B$404,"Active")=0,"CLIENT NOT ACTIVE",IF(COUNTIF(Teams!$A$5:$A$104,D109)=0,"TEAM NOT FOUND","OK")))))</x:f>
      </x:c>
    </x:row>
    <x:row r="110">
      <x:c r="E110" s="102"/>
      <x:c r="G110" s="100" t="str">
        <x:f>IF(COUNTA(A110:F110)=0,"",IF(OR(A110="",B110="",C110="",D110=""),"COMPLETE ROW",IF(COUNTIF(Clients!$A$5:$A$404,C110)=0,"CLIENT NOT FOUND",IF(COUNTIFS(Clients!$A$5:$A$404,C110,Clients!$B$5:$B$404,"Active")=0,"CLIENT NOT ACTIVE",IF(COUNTIF(Teams!$A$5:$A$104,D110)=0,"TEAM NOT FOUND","OK")))))</x:f>
      </x:c>
    </x:row>
    <x:row r="111">
      <x:c r="E111" s="102"/>
      <x:c r="G111" s="100" t="str">
        <x:f>IF(COUNTA(A111:F111)=0,"",IF(OR(A111="",B111="",C111="",D111=""),"COMPLETE ROW",IF(COUNTIF(Clients!$A$5:$A$404,C111)=0,"CLIENT NOT FOUND",IF(COUNTIFS(Clients!$A$5:$A$404,C111,Clients!$B$5:$B$404,"Active")=0,"CLIENT NOT ACTIVE",IF(COUNTIF(Teams!$A$5:$A$104,D111)=0,"TEAM NOT FOUND","OK")))))</x:f>
      </x:c>
    </x:row>
    <x:row r="112">
      <x:c r="E112" s="102"/>
      <x:c r="G112" s="100" t="str">
        <x:f>IF(COUNTA(A112:F112)=0,"",IF(OR(A112="",B112="",C112="",D112=""),"COMPLETE ROW",IF(COUNTIF(Clients!$A$5:$A$404,C112)=0,"CLIENT NOT FOUND",IF(COUNTIFS(Clients!$A$5:$A$404,C112,Clients!$B$5:$B$404,"Active")=0,"CLIENT NOT ACTIVE",IF(COUNTIF(Teams!$A$5:$A$104,D112)=0,"TEAM NOT FOUND","OK")))))</x:f>
      </x:c>
    </x:row>
    <x:row r="113">
      <x:c r="E113" s="102"/>
      <x:c r="G113" s="100" t="str">
        <x:f>IF(COUNTA(A113:F113)=0,"",IF(OR(A113="",B113="",C113="",D113=""),"COMPLETE ROW",IF(COUNTIF(Clients!$A$5:$A$404,C113)=0,"CLIENT NOT FOUND",IF(COUNTIFS(Clients!$A$5:$A$404,C113,Clients!$B$5:$B$404,"Active")=0,"CLIENT NOT ACTIVE",IF(COUNTIF(Teams!$A$5:$A$104,D113)=0,"TEAM NOT FOUND","OK")))))</x:f>
      </x:c>
    </x:row>
    <x:row r="114">
      <x:c r="E114" s="102"/>
      <x:c r="G114" s="100" t="str">
        <x:f>IF(COUNTA(A114:F114)=0,"",IF(OR(A114="",B114="",C114="",D114=""),"COMPLETE ROW",IF(COUNTIF(Clients!$A$5:$A$404,C114)=0,"CLIENT NOT FOUND",IF(COUNTIFS(Clients!$A$5:$A$404,C114,Clients!$B$5:$B$404,"Active")=0,"CLIENT NOT ACTIVE",IF(COUNTIF(Teams!$A$5:$A$104,D114)=0,"TEAM NOT FOUND","OK")))))</x:f>
      </x:c>
    </x:row>
    <x:row r="115">
      <x:c r="E115" s="102"/>
      <x:c r="G115" s="100" t="str">
        <x:f>IF(COUNTA(A115:F115)=0,"",IF(OR(A115="",B115="",C115="",D115=""),"COMPLETE ROW",IF(COUNTIF(Clients!$A$5:$A$404,C115)=0,"CLIENT NOT FOUND",IF(COUNTIFS(Clients!$A$5:$A$404,C115,Clients!$B$5:$B$404,"Active")=0,"CLIENT NOT ACTIVE",IF(COUNTIF(Teams!$A$5:$A$104,D115)=0,"TEAM NOT FOUND","OK")))))</x:f>
      </x:c>
    </x:row>
    <x:row r="116">
      <x:c r="E116" s="102"/>
      <x:c r="G116" s="100" t="str">
        <x:f>IF(COUNTA(A116:F116)=0,"",IF(OR(A116="",B116="",C116="",D116=""),"COMPLETE ROW",IF(COUNTIF(Clients!$A$5:$A$404,C116)=0,"CLIENT NOT FOUND",IF(COUNTIFS(Clients!$A$5:$A$404,C116,Clients!$B$5:$B$404,"Active")=0,"CLIENT NOT ACTIVE",IF(COUNTIF(Teams!$A$5:$A$104,D116)=0,"TEAM NOT FOUND","OK")))))</x:f>
      </x:c>
    </x:row>
    <x:row r="117">
      <x:c r="E117" s="102"/>
      <x:c r="G117" s="100" t="str">
        <x:f>IF(COUNTA(A117:F117)=0,"",IF(OR(A117="",B117="",C117="",D117=""),"COMPLETE ROW",IF(COUNTIF(Clients!$A$5:$A$404,C117)=0,"CLIENT NOT FOUND",IF(COUNTIFS(Clients!$A$5:$A$404,C117,Clients!$B$5:$B$404,"Active")=0,"CLIENT NOT ACTIVE",IF(COUNTIF(Teams!$A$5:$A$104,D117)=0,"TEAM NOT FOUND","OK")))))</x:f>
      </x:c>
    </x:row>
    <x:row r="118">
      <x:c r="E118" s="102"/>
      <x:c r="G118" s="100" t="str">
        <x:f>IF(COUNTA(A118:F118)=0,"",IF(OR(A118="",B118="",C118="",D118=""),"COMPLETE ROW",IF(COUNTIF(Clients!$A$5:$A$404,C118)=0,"CLIENT NOT FOUND",IF(COUNTIFS(Clients!$A$5:$A$404,C118,Clients!$B$5:$B$404,"Active")=0,"CLIENT NOT ACTIVE",IF(COUNTIF(Teams!$A$5:$A$104,D118)=0,"TEAM NOT FOUND","OK")))))</x:f>
      </x:c>
    </x:row>
    <x:row r="119">
      <x:c r="E119" s="102"/>
      <x:c r="G119" s="100" t="str">
        <x:f>IF(COUNTA(A119:F119)=0,"",IF(OR(A119="",B119="",C119="",D119=""),"COMPLETE ROW",IF(COUNTIF(Clients!$A$5:$A$404,C119)=0,"CLIENT NOT FOUND",IF(COUNTIFS(Clients!$A$5:$A$404,C119,Clients!$B$5:$B$404,"Active")=0,"CLIENT NOT ACTIVE",IF(COUNTIF(Teams!$A$5:$A$104,D119)=0,"TEAM NOT FOUND","OK")))))</x:f>
      </x:c>
    </x:row>
    <x:row r="120">
      <x:c r="E120" s="102"/>
      <x:c r="G120" s="100" t="str">
        <x:f>IF(COUNTA(A120:F120)=0,"",IF(OR(A120="",B120="",C120="",D120=""),"COMPLETE ROW",IF(COUNTIF(Clients!$A$5:$A$404,C120)=0,"CLIENT NOT FOUND",IF(COUNTIFS(Clients!$A$5:$A$404,C120,Clients!$B$5:$B$404,"Active")=0,"CLIENT NOT ACTIVE",IF(COUNTIF(Teams!$A$5:$A$104,D120)=0,"TEAM NOT FOUND","OK")))))</x:f>
      </x:c>
    </x:row>
    <x:row r="121">
      <x:c r="E121" s="102"/>
      <x:c r="G121" s="100" t="str">
        <x:f>IF(COUNTA(A121:F121)=0,"",IF(OR(A121="",B121="",C121="",D121=""),"COMPLETE ROW",IF(COUNTIF(Clients!$A$5:$A$404,C121)=0,"CLIENT NOT FOUND",IF(COUNTIFS(Clients!$A$5:$A$404,C121,Clients!$B$5:$B$404,"Active")=0,"CLIENT NOT ACTIVE",IF(COUNTIF(Teams!$A$5:$A$104,D121)=0,"TEAM NOT FOUND","OK")))))</x:f>
      </x:c>
    </x:row>
    <x:row r="122">
      <x:c r="E122" s="102"/>
      <x:c r="G122" s="100" t="str">
        <x:f>IF(COUNTA(A122:F122)=0,"",IF(OR(A122="",B122="",C122="",D122=""),"COMPLETE ROW",IF(COUNTIF(Clients!$A$5:$A$404,C122)=0,"CLIENT NOT FOUND",IF(COUNTIFS(Clients!$A$5:$A$404,C122,Clients!$B$5:$B$404,"Active")=0,"CLIENT NOT ACTIVE",IF(COUNTIF(Teams!$A$5:$A$104,D122)=0,"TEAM NOT FOUND","OK")))))</x:f>
      </x:c>
    </x:row>
    <x:row r="123">
      <x:c r="E123" s="102"/>
      <x:c r="G123" s="100" t="str">
        <x:f>IF(COUNTA(A123:F123)=0,"",IF(OR(A123="",B123="",C123="",D123=""),"COMPLETE ROW",IF(COUNTIF(Clients!$A$5:$A$404,C123)=0,"CLIENT NOT FOUND",IF(COUNTIFS(Clients!$A$5:$A$404,C123,Clients!$B$5:$B$404,"Active")=0,"CLIENT NOT ACTIVE",IF(COUNTIF(Teams!$A$5:$A$104,D123)=0,"TEAM NOT FOUND","OK")))))</x:f>
      </x:c>
    </x:row>
    <x:row r="124">
      <x:c r="E124" s="102"/>
      <x:c r="G124" s="100" t="str">
        <x:f>IF(COUNTA(A124:F124)=0,"",IF(OR(A124="",B124="",C124="",D124=""),"COMPLETE ROW",IF(COUNTIF(Clients!$A$5:$A$404,C124)=0,"CLIENT NOT FOUND",IF(COUNTIFS(Clients!$A$5:$A$404,C124,Clients!$B$5:$B$404,"Active")=0,"CLIENT NOT ACTIVE",IF(COUNTIF(Teams!$A$5:$A$104,D124)=0,"TEAM NOT FOUND","OK")))))</x:f>
      </x:c>
    </x:row>
    <x:row r="125">
      <x:c r="E125" s="102"/>
      <x:c r="G125" s="100" t="str">
        <x:f>IF(COUNTA(A125:F125)=0,"",IF(OR(A125="",B125="",C125="",D125=""),"COMPLETE ROW",IF(COUNTIF(Clients!$A$5:$A$404,C125)=0,"CLIENT NOT FOUND",IF(COUNTIFS(Clients!$A$5:$A$404,C125,Clients!$B$5:$B$404,"Active")=0,"CLIENT NOT ACTIVE",IF(COUNTIF(Teams!$A$5:$A$104,D125)=0,"TEAM NOT FOUND","OK")))))</x:f>
      </x:c>
    </x:row>
    <x:row r="126">
      <x:c r="E126" s="102"/>
      <x:c r="G126" s="100" t="str">
        <x:f>IF(COUNTA(A126:F126)=0,"",IF(OR(A126="",B126="",C126="",D126=""),"COMPLETE ROW",IF(COUNTIF(Clients!$A$5:$A$404,C126)=0,"CLIENT NOT FOUND",IF(COUNTIFS(Clients!$A$5:$A$404,C126,Clients!$B$5:$B$404,"Active")=0,"CLIENT NOT ACTIVE",IF(COUNTIF(Teams!$A$5:$A$104,D126)=0,"TEAM NOT FOUND","OK")))))</x:f>
      </x:c>
    </x:row>
    <x:row r="127">
      <x:c r="E127" s="102"/>
      <x:c r="G127" s="100" t="str">
        <x:f>IF(COUNTA(A127:F127)=0,"",IF(OR(A127="",B127="",C127="",D127=""),"COMPLETE ROW",IF(COUNTIF(Clients!$A$5:$A$404,C127)=0,"CLIENT NOT FOUND",IF(COUNTIFS(Clients!$A$5:$A$404,C127,Clients!$B$5:$B$404,"Active")=0,"CLIENT NOT ACTIVE",IF(COUNTIF(Teams!$A$5:$A$104,D127)=0,"TEAM NOT FOUND","OK")))))</x:f>
      </x:c>
    </x:row>
    <x:row r="128">
      <x:c r="E128" s="102"/>
      <x:c r="G128" s="100" t="str">
        <x:f>IF(COUNTA(A128:F128)=0,"",IF(OR(A128="",B128="",C128="",D128=""),"COMPLETE ROW",IF(COUNTIF(Clients!$A$5:$A$404,C128)=0,"CLIENT NOT FOUND",IF(COUNTIFS(Clients!$A$5:$A$404,C128,Clients!$B$5:$B$404,"Active")=0,"CLIENT NOT ACTIVE",IF(COUNTIF(Teams!$A$5:$A$104,D128)=0,"TEAM NOT FOUND","OK")))))</x:f>
      </x:c>
    </x:row>
    <x:row r="129">
      <x:c r="E129" s="102"/>
      <x:c r="G129" s="100" t="str">
        <x:f>IF(COUNTA(A129:F129)=0,"",IF(OR(A129="",B129="",C129="",D129=""),"COMPLETE ROW",IF(COUNTIF(Clients!$A$5:$A$404,C129)=0,"CLIENT NOT FOUND",IF(COUNTIFS(Clients!$A$5:$A$404,C129,Clients!$B$5:$B$404,"Active")=0,"CLIENT NOT ACTIVE",IF(COUNTIF(Teams!$A$5:$A$104,D129)=0,"TEAM NOT FOUND","OK")))))</x:f>
      </x:c>
    </x:row>
    <x:row r="130">
      <x:c r="E130" s="102"/>
      <x:c r="G130" s="100" t="str">
        <x:f>IF(COUNTA(A130:F130)=0,"",IF(OR(A130="",B130="",C130="",D130=""),"COMPLETE ROW",IF(COUNTIF(Clients!$A$5:$A$404,C130)=0,"CLIENT NOT FOUND",IF(COUNTIFS(Clients!$A$5:$A$404,C130,Clients!$B$5:$B$404,"Active")=0,"CLIENT NOT ACTIVE",IF(COUNTIF(Teams!$A$5:$A$104,D130)=0,"TEAM NOT FOUND","OK")))))</x:f>
      </x:c>
    </x:row>
    <x:row r="131">
      <x:c r="E131" s="102"/>
      <x:c r="G131" s="100" t="str">
        <x:f>IF(COUNTA(A131:F131)=0,"",IF(OR(A131="",B131="",C131="",D131=""),"COMPLETE ROW",IF(COUNTIF(Clients!$A$5:$A$404,C131)=0,"CLIENT NOT FOUND",IF(COUNTIFS(Clients!$A$5:$A$404,C131,Clients!$B$5:$B$404,"Active")=0,"CLIENT NOT ACTIVE",IF(COUNTIF(Teams!$A$5:$A$104,D131)=0,"TEAM NOT FOUND","OK")))))</x:f>
      </x:c>
    </x:row>
    <x:row r="132">
      <x:c r="E132" s="102"/>
      <x:c r="G132" s="100" t="str">
        <x:f>IF(COUNTA(A132:F132)=0,"",IF(OR(A132="",B132="",C132="",D132=""),"COMPLETE ROW",IF(COUNTIF(Clients!$A$5:$A$404,C132)=0,"CLIENT NOT FOUND",IF(COUNTIFS(Clients!$A$5:$A$404,C132,Clients!$B$5:$B$404,"Active")=0,"CLIENT NOT ACTIVE",IF(COUNTIF(Teams!$A$5:$A$104,D132)=0,"TEAM NOT FOUND","OK")))))</x:f>
      </x:c>
    </x:row>
    <x:row r="133">
      <x:c r="E133" s="102"/>
      <x:c r="G133" s="100" t="str">
        <x:f>IF(COUNTA(A133:F133)=0,"",IF(OR(A133="",B133="",C133="",D133=""),"COMPLETE ROW",IF(COUNTIF(Clients!$A$5:$A$404,C133)=0,"CLIENT NOT FOUND",IF(COUNTIFS(Clients!$A$5:$A$404,C133,Clients!$B$5:$B$404,"Active")=0,"CLIENT NOT ACTIVE",IF(COUNTIF(Teams!$A$5:$A$104,D133)=0,"TEAM NOT FOUND","OK")))))</x:f>
      </x:c>
    </x:row>
    <x:row r="134">
      <x:c r="E134" s="102"/>
      <x:c r="G134" s="100" t="str">
        <x:f>IF(COUNTA(A134:F134)=0,"",IF(OR(A134="",B134="",C134="",D134=""),"COMPLETE ROW",IF(COUNTIF(Clients!$A$5:$A$404,C134)=0,"CLIENT NOT FOUND",IF(COUNTIFS(Clients!$A$5:$A$404,C134,Clients!$B$5:$B$404,"Active")=0,"CLIENT NOT ACTIVE",IF(COUNTIF(Teams!$A$5:$A$104,D134)=0,"TEAM NOT FOUND","OK")))))</x:f>
      </x:c>
    </x:row>
    <x:row r="135">
      <x:c r="E135" s="102"/>
      <x:c r="G135" s="100" t="str">
        <x:f>IF(COUNTA(A135:F135)=0,"",IF(OR(A135="",B135="",C135="",D135=""),"COMPLETE ROW",IF(COUNTIF(Clients!$A$5:$A$404,C135)=0,"CLIENT NOT FOUND",IF(COUNTIFS(Clients!$A$5:$A$404,C135,Clients!$B$5:$B$404,"Active")=0,"CLIENT NOT ACTIVE",IF(COUNTIF(Teams!$A$5:$A$104,D135)=0,"TEAM NOT FOUND","OK")))))</x:f>
      </x:c>
    </x:row>
    <x:row r="136">
      <x:c r="E136" s="102"/>
      <x:c r="G136" s="100" t="str">
        <x:f>IF(COUNTA(A136:F136)=0,"",IF(OR(A136="",B136="",C136="",D136=""),"COMPLETE ROW",IF(COUNTIF(Clients!$A$5:$A$404,C136)=0,"CLIENT NOT FOUND",IF(COUNTIFS(Clients!$A$5:$A$404,C136,Clients!$B$5:$B$404,"Active")=0,"CLIENT NOT ACTIVE",IF(COUNTIF(Teams!$A$5:$A$104,D136)=0,"TEAM NOT FOUND","OK")))))</x:f>
      </x:c>
    </x:row>
    <x:row r="137">
      <x:c r="E137" s="102"/>
      <x:c r="G137" s="100" t="str">
        <x:f>IF(COUNTA(A137:F137)=0,"",IF(OR(A137="",B137="",C137="",D137=""),"COMPLETE ROW",IF(COUNTIF(Clients!$A$5:$A$404,C137)=0,"CLIENT NOT FOUND",IF(COUNTIFS(Clients!$A$5:$A$404,C137,Clients!$B$5:$B$404,"Active")=0,"CLIENT NOT ACTIVE",IF(COUNTIF(Teams!$A$5:$A$104,D137)=0,"TEAM NOT FOUND","OK")))))</x:f>
      </x:c>
    </x:row>
    <x:row r="138">
      <x:c r="E138" s="102"/>
      <x:c r="G138" s="100" t="str">
        <x:f>IF(COUNTA(A138:F138)=0,"",IF(OR(A138="",B138="",C138="",D138=""),"COMPLETE ROW",IF(COUNTIF(Clients!$A$5:$A$404,C138)=0,"CLIENT NOT FOUND",IF(COUNTIFS(Clients!$A$5:$A$404,C138,Clients!$B$5:$B$404,"Active")=0,"CLIENT NOT ACTIVE",IF(COUNTIF(Teams!$A$5:$A$104,D138)=0,"TEAM NOT FOUND","OK")))))</x:f>
      </x:c>
    </x:row>
    <x:row r="139">
      <x:c r="E139" s="102"/>
      <x:c r="G139" s="100" t="str">
        <x:f>IF(COUNTA(A139:F139)=0,"",IF(OR(A139="",B139="",C139="",D139=""),"COMPLETE ROW",IF(COUNTIF(Clients!$A$5:$A$404,C139)=0,"CLIENT NOT FOUND",IF(COUNTIFS(Clients!$A$5:$A$404,C139,Clients!$B$5:$B$404,"Active")=0,"CLIENT NOT ACTIVE",IF(COUNTIF(Teams!$A$5:$A$104,D139)=0,"TEAM NOT FOUND","OK")))))</x:f>
      </x:c>
    </x:row>
    <x:row r="140">
      <x:c r="E140" s="102"/>
      <x:c r="G140" s="100" t="str">
        <x:f>IF(COUNTA(A140:F140)=0,"",IF(OR(A140="",B140="",C140="",D140=""),"COMPLETE ROW",IF(COUNTIF(Clients!$A$5:$A$404,C140)=0,"CLIENT NOT FOUND",IF(COUNTIFS(Clients!$A$5:$A$404,C140,Clients!$B$5:$B$404,"Active")=0,"CLIENT NOT ACTIVE",IF(COUNTIF(Teams!$A$5:$A$104,D140)=0,"TEAM NOT FOUND","OK")))))</x:f>
      </x:c>
    </x:row>
    <x:row r="141">
      <x:c r="E141" s="102"/>
      <x:c r="G141" s="100" t="str">
        <x:f>IF(COUNTA(A141:F141)=0,"",IF(OR(A141="",B141="",C141="",D141=""),"COMPLETE ROW",IF(COUNTIF(Clients!$A$5:$A$404,C141)=0,"CLIENT NOT FOUND",IF(COUNTIFS(Clients!$A$5:$A$404,C141,Clients!$B$5:$B$404,"Active")=0,"CLIENT NOT ACTIVE",IF(COUNTIF(Teams!$A$5:$A$104,D141)=0,"TEAM NOT FOUND","OK")))))</x:f>
      </x:c>
    </x:row>
    <x:row r="142">
      <x:c r="E142" s="102"/>
      <x:c r="G142" s="100" t="str">
        <x:f>IF(COUNTA(A142:F142)=0,"",IF(OR(A142="",B142="",C142="",D142=""),"COMPLETE ROW",IF(COUNTIF(Clients!$A$5:$A$404,C142)=0,"CLIENT NOT FOUND",IF(COUNTIFS(Clients!$A$5:$A$404,C142,Clients!$B$5:$B$404,"Active")=0,"CLIENT NOT ACTIVE",IF(COUNTIF(Teams!$A$5:$A$104,D142)=0,"TEAM NOT FOUND","OK")))))</x:f>
      </x:c>
    </x:row>
    <x:row r="143">
      <x:c r="E143" s="102"/>
      <x:c r="G143" s="100" t="str">
        <x:f>IF(COUNTA(A143:F143)=0,"",IF(OR(A143="",B143="",C143="",D143=""),"COMPLETE ROW",IF(COUNTIF(Clients!$A$5:$A$404,C143)=0,"CLIENT NOT FOUND",IF(COUNTIFS(Clients!$A$5:$A$404,C143,Clients!$B$5:$B$404,"Active")=0,"CLIENT NOT ACTIVE",IF(COUNTIF(Teams!$A$5:$A$104,D143)=0,"TEAM NOT FOUND","OK")))))</x:f>
      </x:c>
    </x:row>
    <x:row r="144">
      <x:c r="E144" s="102"/>
      <x:c r="G144" s="100" t="str">
        <x:f>IF(COUNTA(A144:F144)=0,"",IF(OR(A144="",B144="",C144="",D144=""),"COMPLETE ROW",IF(COUNTIF(Clients!$A$5:$A$404,C144)=0,"CLIENT NOT FOUND",IF(COUNTIFS(Clients!$A$5:$A$404,C144,Clients!$B$5:$B$404,"Active")=0,"CLIENT NOT ACTIVE",IF(COUNTIF(Teams!$A$5:$A$104,D144)=0,"TEAM NOT FOUND","OK")))))</x:f>
      </x:c>
    </x:row>
    <x:row r="145">
      <x:c r="E145" s="102"/>
      <x:c r="G145" s="100" t="str">
        <x:f>IF(COUNTA(A145:F145)=0,"",IF(OR(A145="",B145="",C145="",D145=""),"COMPLETE ROW",IF(COUNTIF(Clients!$A$5:$A$404,C145)=0,"CLIENT NOT FOUND",IF(COUNTIFS(Clients!$A$5:$A$404,C145,Clients!$B$5:$B$404,"Active")=0,"CLIENT NOT ACTIVE",IF(COUNTIF(Teams!$A$5:$A$104,D145)=0,"TEAM NOT FOUND","OK")))))</x:f>
      </x:c>
    </x:row>
    <x:row r="146">
      <x:c r="E146" s="102"/>
      <x:c r="G146" s="100" t="str">
        <x:f>IF(COUNTA(A146:F146)=0,"",IF(OR(A146="",B146="",C146="",D146=""),"COMPLETE ROW",IF(COUNTIF(Clients!$A$5:$A$404,C146)=0,"CLIENT NOT FOUND",IF(COUNTIFS(Clients!$A$5:$A$404,C146,Clients!$B$5:$B$404,"Active")=0,"CLIENT NOT ACTIVE",IF(COUNTIF(Teams!$A$5:$A$104,D146)=0,"TEAM NOT FOUND","OK")))))</x:f>
      </x:c>
    </x:row>
    <x:row r="147">
      <x:c r="E147" s="102"/>
      <x:c r="G147" s="100" t="str">
        <x:f>IF(COUNTA(A147:F147)=0,"",IF(OR(A147="",B147="",C147="",D147=""),"COMPLETE ROW",IF(COUNTIF(Clients!$A$5:$A$404,C147)=0,"CLIENT NOT FOUND",IF(COUNTIFS(Clients!$A$5:$A$404,C147,Clients!$B$5:$B$404,"Active")=0,"CLIENT NOT ACTIVE",IF(COUNTIF(Teams!$A$5:$A$104,D147)=0,"TEAM NOT FOUND","OK")))))</x:f>
      </x:c>
    </x:row>
    <x:row r="148">
      <x:c r="E148" s="102"/>
      <x:c r="G148" s="100" t="str">
        <x:f>IF(COUNTA(A148:F148)=0,"",IF(OR(A148="",B148="",C148="",D148=""),"COMPLETE ROW",IF(COUNTIF(Clients!$A$5:$A$404,C148)=0,"CLIENT NOT FOUND",IF(COUNTIFS(Clients!$A$5:$A$404,C148,Clients!$B$5:$B$404,"Active")=0,"CLIENT NOT ACTIVE",IF(COUNTIF(Teams!$A$5:$A$104,D148)=0,"TEAM NOT FOUND","OK")))))</x:f>
      </x:c>
    </x:row>
    <x:row r="149">
      <x:c r="E149" s="102"/>
      <x:c r="G149" s="100" t="str">
        <x:f>IF(COUNTA(A149:F149)=0,"",IF(OR(A149="",B149="",C149="",D149=""),"COMPLETE ROW",IF(COUNTIF(Clients!$A$5:$A$404,C149)=0,"CLIENT NOT FOUND",IF(COUNTIFS(Clients!$A$5:$A$404,C149,Clients!$B$5:$B$404,"Active")=0,"CLIENT NOT ACTIVE",IF(COUNTIF(Teams!$A$5:$A$104,D149)=0,"TEAM NOT FOUND","OK")))))</x:f>
      </x:c>
    </x:row>
    <x:row r="150">
      <x:c r="E150" s="102"/>
      <x:c r="G150" s="100" t="str">
        <x:f>IF(COUNTA(A150:F150)=0,"",IF(OR(A150="",B150="",C150="",D150=""),"COMPLETE ROW",IF(COUNTIF(Clients!$A$5:$A$404,C150)=0,"CLIENT NOT FOUND",IF(COUNTIFS(Clients!$A$5:$A$404,C150,Clients!$B$5:$B$404,"Active")=0,"CLIENT NOT ACTIVE",IF(COUNTIF(Teams!$A$5:$A$104,D150)=0,"TEAM NOT FOUND","OK")))))</x:f>
      </x:c>
    </x:row>
    <x:row r="151">
      <x:c r="E151" s="102"/>
      <x:c r="G151" s="100" t="str">
        <x:f>IF(COUNTA(A151:F151)=0,"",IF(OR(A151="",B151="",C151="",D151=""),"COMPLETE ROW",IF(COUNTIF(Clients!$A$5:$A$404,C151)=0,"CLIENT NOT FOUND",IF(COUNTIFS(Clients!$A$5:$A$404,C151,Clients!$B$5:$B$404,"Active")=0,"CLIENT NOT ACTIVE",IF(COUNTIF(Teams!$A$5:$A$104,D151)=0,"TEAM NOT FOUND","OK")))))</x:f>
      </x:c>
    </x:row>
    <x:row r="152">
      <x:c r="E152" s="102"/>
      <x:c r="G152" s="100" t="str">
        <x:f>IF(COUNTA(A152:F152)=0,"",IF(OR(A152="",B152="",C152="",D152=""),"COMPLETE ROW",IF(COUNTIF(Clients!$A$5:$A$404,C152)=0,"CLIENT NOT FOUND",IF(COUNTIFS(Clients!$A$5:$A$404,C152,Clients!$B$5:$B$404,"Active")=0,"CLIENT NOT ACTIVE",IF(COUNTIF(Teams!$A$5:$A$104,D152)=0,"TEAM NOT FOUND","OK")))))</x:f>
      </x:c>
    </x:row>
    <x:row r="153">
      <x:c r="E153" s="102"/>
      <x:c r="G153" s="100" t="str">
        <x:f>IF(COUNTA(A153:F153)=0,"",IF(OR(A153="",B153="",C153="",D153=""),"COMPLETE ROW",IF(COUNTIF(Clients!$A$5:$A$404,C153)=0,"CLIENT NOT FOUND",IF(COUNTIFS(Clients!$A$5:$A$404,C153,Clients!$B$5:$B$404,"Active")=0,"CLIENT NOT ACTIVE",IF(COUNTIF(Teams!$A$5:$A$104,D153)=0,"TEAM NOT FOUND","OK")))))</x:f>
      </x:c>
    </x:row>
    <x:row r="154">
      <x:c r="E154" s="102"/>
      <x:c r="G154" s="100" t="str">
        <x:f>IF(COUNTA(A154:F154)=0,"",IF(OR(A154="",B154="",C154="",D154=""),"COMPLETE ROW",IF(COUNTIF(Clients!$A$5:$A$404,C154)=0,"CLIENT NOT FOUND",IF(COUNTIFS(Clients!$A$5:$A$404,C154,Clients!$B$5:$B$404,"Active")=0,"CLIENT NOT ACTIVE",IF(COUNTIF(Teams!$A$5:$A$104,D154)=0,"TEAM NOT FOUND","OK")))))</x:f>
      </x:c>
    </x:row>
    <x:row r="155">
      <x:c r="E155" s="102"/>
      <x:c r="G155" s="100" t="str">
        <x:f>IF(COUNTA(A155:F155)=0,"",IF(OR(A155="",B155="",C155="",D155=""),"COMPLETE ROW",IF(COUNTIF(Clients!$A$5:$A$404,C155)=0,"CLIENT NOT FOUND",IF(COUNTIFS(Clients!$A$5:$A$404,C155,Clients!$B$5:$B$404,"Active")=0,"CLIENT NOT ACTIVE",IF(COUNTIF(Teams!$A$5:$A$104,D155)=0,"TEAM NOT FOUND","OK")))))</x:f>
      </x:c>
    </x:row>
    <x:row r="156">
      <x:c r="E156" s="102"/>
      <x:c r="G156" s="100" t="str">
        <x:f>IF(COUNTA(A156:F156)=0,"",IF(OR(A156="",B156="",C156="",D156=""),"COMPLETE ROW",IF(COUNTIF(Clients!$A$5:$A$404,C156)=0,"CLIENT NOT FOUND",IF(COUNTIFS(Clients!$A$5:$A$404,C156,Clients!$B$5:$B$404,"Active")=0,"CLIENT NOT ACTIVE",IF(COUNTIF(Teams!$A$5:$A$104,D156)=0,"TEAM NOT FOUND","OK")))))</x:f>
      </x:c>
    </x:row>
    <x:row r="157">
      <x:c r="E157" s="102"/>
      <x:c r="G157" s="100" t="str">
        <x:f>IF(COUNTA(A157:F157)=0,"",IF(OR(A157="",B157="",C157="",D157=""),"COMPLETE ROW",IF(COUNTIF(Clients!$A$5:$A$404,C157)=0,"CLIENT NOT FOUND",IF(COUNTIFS(Clients!$A$5:$A$404,C157,Clients!$B$5:$B$404,"Active")=0,"CLIENT NOT ACTIVE",IF(COUNTIF(Teams!$A$5:$A$104,D157)=0,"TEAM NOT FOUND","OK")))))</x:f>
      </x:c>
    </x:row>
    <x:row r="158">
      <x:c r="E158" s="102"/>
      <x:c r="G158" s="100" t="str">
        <x:f>IF(COUNTA(A158:F158)=0,"",IF(OR(A158="",B158="",C158="",D158=""),"COMPLETE ROW",IF(COUNTIF(Clients!$A$5:$A$404,C158)=0,"CLIENT NOT FOUND",IF(COUNTIFS(Clients!$A$5:$A$404,C158,Clients!$B$5:$B$404,"Active")=0,"CLIENT NOT ACTIVE",IF(COUNTIF(Teams!$A$5:$A$104,D158)=0,"TEAM NOT FOUND","OK")))))</x:f>
      </x:c>
    </x:row>
    <x:row r="159">
      <x:c r="E159" s="102"/>
      <x:c r="G159" s="100" t="str">
        <x:f>IF(COUNTA(A159:F159)=0,"",IF(OR(A159="",B159="",C159="",D159=""),"COMPLETE ROW",IF(COUNTIF(Clients!$A$5:$A$404,C159)=0,"CLIENT NOT FOUND",IF(COUNTIFS(Clients!$A$5:$A$404,C159,Clients!$B$5:$B$404,"Active")=0,"CLIENT NOT ACTIVE",IF(COUNTIF(Teams!$A$5:$A$104,D159)=0,"TEAM NOT FOUND","OK")))))</x:f>
      </x:c>
    </x:row>
    <x:row r="160">
      <x:c r="E160" s="102"/>
      <x:c r="G160" s="100" t="str">
        <x:f>IF(COUNTA(A160:F160)=0,"",IF(OR(A160="",B160="",C160="",D160=""),"COMPLETE ROW",IF(COUNTIF(Clients!$A$5:$A$404,C160)=0,"CLIENT NOT FOUND",IF(COUNTIFS(Clients!$A$5:$A$404,C160,Clients!$B$5:$B$404,"Active")=0,"CLIENT NOT ACTIVE",IF(COUNTIF(Teams!$A$5:$A$104,D160)=0,"TEAM NOT FOUND","OK")))))</x:f>
      </x:c>
    </x:row>
    <x:row r="161">
      <x:c r="E161" s="102"/>
      <x:c r="G161" s="100" t="str">
        <x:f>IF(COUNTA(A161:F161)=0,"",IF(OR(A161="",B161="",C161="",D161=""),"COMPLETE ROW",IF(COUNTIF(Clients!$A$5:$A$404,C161)=0,"CLIENT NOT FOUND",IF(COUNTIFS(Clients!$A$5:$A$404,C161,Clients!$B$5:$B$404,"Active")=0,"CLIENT NOT ACTIVE",IF(COUNTIF(Teams!$A$5:$A$104,D161)=0,"TEAM NOT FOUND","OK")))))</x:f>
      </x:c>
    </x:row>
    <x:row r="162">
      <x:c r="E162" s="102"/>
      <x:c r="G162" s="100" t="str">
        <x:f>IF(COUNTA(A162:F162)=0,"",IF(OR(A162="",B162="",C162="",D162=""),"COMPLETE ROW",IF(COUNTIF(Clients!$A$5:$A$404,C162)=0,"CLIENT NOT FOUND",IF(COUNTIFS(Clients!$A$5:$A$404,C162,Clients!$B$5:$B$404,"Active")=0,"CLIENT NOT ACTIVE",IF(COUNTIF(Teams!$A$5:$A$104,D162)=0,"TEAM NOT FOUND","OK")))))</x:f>
      </x:c>
    </x:row>
    <x:row r="163">
      <x:c r="E163" s="102"/>
      <x:c r="G163" s="100" t="str">
        <x:f>IF(COUNTA(A163:F163)=0,"",IF(OR(A163="",B163="",C163="",D163=""),"COMPLETE ROW",IF(COUNTIF(Clients!$A$5:$A$404,C163)=0,"CLIENT NOT FOUND",IF(COUNTIFS(Clients!$A$5:$A$404,C163,Clients!$B$5:$B$404,"Active")=0,"CLIENT NOT ACTIVE",IF(COUNTIF(Teams!$A$5:$A$104,D163)=0,"TEAM NOT FOUND","OK")))))</x:f>
      </x:c>
    </x:row>
    <x:row r="164">
      <x:c r="E164" s="102"/>
      <x:c r="G164" s="100" t="str">
        <x:f>IF(COUNTA(A164:F164)=0,"",IF(OR(A164="",B164="",C164="",D164=""),"COMPLETE ROW",IF(COUNTIF(Clients!$A$5:$A$404,C164)=0,"CLIENT NOT FOUND",IF(COUNTIFS(Clients!$A$5:$A$404,C164,Clients!$B$5:$B$404,"Active")=0,"CLIENT NOT ACTIVE",IF(COUNTIF(Teams!$A$5:$A$104,D164)=0,"TEAM NOT FOUND","OK")))))</x:f>
      </x:c>
    </x:row>
    <x:row r="165">
      <x:c r="E165" s="102"/>
      <x:c r="G165" s="100" t="str">
        <x:f>IF(COUNTA(A165:F165)=0,"",IF(OR(A165="",B165="",C165="",D165=""),"COMPLETE ROW",IF(COUNTIF(Clients!$A$5:$A$404,C165)=0,"CLIENT NOT FOUND",IF(COUNTIFS(Clients!$A$5:$A$404,C165,Clients!$B$5:$B$404,"Active")=0,"CLIENT NOT ACTIVE",IF(COUNTIF(Teams!$A$5:$A$104,D165)=0,"TEAM NOT FOUND","OK")))))</x:f>
      </x:c>
    </x:row>
    <x:row r="166">
      <x:c r="E166" s="102"/>
      <x:c r="G166" s="100" t="str">
        <x:f>IF(COUNTA(A166:F166)=0,"",IF(OR(A166="",B166="",C166="",D166=""),"COMPLETE ROW",IF(COUNTIF(Clients!$A$5:$A$404,C166)=0,"CLIENT NOT FOUND",IF(COUNTIFS(Clients!$A$5:$A$404,C166,Clients!$B$5:$B$404,"Active")=0,"CLIENT NOT ACTIVE",IF(COUNTIF(Teams!$A$5:$A$104,D166)=0,"TEAM NOT FOUND","OK")))))</x:f>
      </x:c>
    </x:row>
    <x:row r="167">
      <x:c r="E167" s="102"/>
      <x:c r="G167" s="100" t="str">
        <x:f>IF(COUNTA(A167:F167)=0,"",IF(OR(A167="",B167="",C167="",D167=""),"COMPLETE ROW",IF(COUNTIF(Clients!$A$5:$A$404,C167)=0,"CLIENT NOT FOUND",IF(COUNTIFS(Clients!$A$5:$A$404,C167,Clients!$B$5:$B$404,"Active")=0,"CLIENT NOT ACTIVE",IF(COUNTIF(Teams!$A$5:$A$104,D167)=0,"TEAM NOT FOUND","OK")))))</x:f>
      </x:c>
    </x:row>
    <x:row r="168">
      <x:c r="E168" s="102"/>
      <x:c r="G168" s="100" t="str">
        <x:f>IF(COUNTA(A168:F168)=0,"",IF(OR(A168="",B168="",C168="",D168=""),"COMPLETE ROW",IF(COUNTIF(Clients!$A$5:$A$404,C168)=0,"CLIENT NOT FOUND",IF(COUNTIFS(Clients!$A$5:$A$404,C168,Clients!$B$5:$B$404,"Active")=0,"CLIENT NOT ACTIVE",IF(COUNTIF(Teams!$A$5:$A$104,D168)=0,"TEAM NOT FOUND","OK")))))</x:f>
      </x:c>
    </x:row>
    <x:row r="169">
      <x:c r="E169" s="102"/>
      <x:c r="G169" s="100" t="str">
        <x:f>IF(COUNTA(A169:F169)=0,"",IF(OR(A169="",B169="",C169="",D169=""),"COMPLETE ROW",IF(COUNTIF(Clients!$A$5:$A$404,C169)=0,"CLIENT NOT FOUND",IF(COUNTIFS(Clients!$A$5:$A$404,C169,Clients!$B$5:$B$404,"Active")=0,"CLIENT NOT ACTIVE",IF(COUNTIF(Teams!$A$5:$A$104,D169)=0,"TEAM NOT FOUND","OK")))))</x:f>
      </x:c>
    </x:row>
    <x:row r="170">
      <x:c r="E170" s="102"/>
      <x:c r="G170" s="100" t="str">
        <x:f>IF(COUNTA(A170:F170)=0,"",IF(OR(A170="",B170="",C170="",D170=""),"COMPLETE ROW",IF(COUNTIF(Clients!$A$5:$A$404,C170)=0,"CLIENT NOT FOUND",IF(COUNTIFS(Clients!$A$5:$A$404,C170,Clients!$B$5:$B$404,"Active")=0,"CLIENT NOT ACTIVE",IF(COUNTIF(Teams!$A$5:$A$104,D170)=0,"TEAM NOT FOUND","OK")))))</x:f>
      </x:c>
    </x:row>
    <x:row r="171">
      <x:c r="E171" s="102"/>
      <x:c r="G171" s="100" t="str">
        <x:f>IF(COUNTA(A171:F171)=0,"",IF(OR(A171="",B171="",C171="",D171=""),"COMPLETE ROW",IF(COUNTIF(Clients!$A$5:$A$404,C171)=0,"CLIENT NOT FOUND",IF(COUNTIFS(Clients!$A$5:$A$404,C171,Clients!$B$5:$B$404,"Active")=0,"CLIENT NOT ACTIVE",IF(COUNTIF(Teams!$A$5:$A$104,D171)=0,"TEAM NOT FOUND","OK")))))</x:f>
      </x:c>
    </x:row>
    <x:row r="172">
      <x:c r="E172" s="102"/>
      <x:c r="G172" s="100" t="str">
        <x:f>IF(COUNTA(A172:F172)=0,"",IF(OR(A172="",B172="",C172="",D172=""),"COMPLETE ROW",IF(COUNTIF(Clients!$A$5:$A$404,C172)=0,"CLIENT NOT FOUND",IF(COUNTIFS(Clients!$A$5:$A$404,C172,Clients!$B$5:$B$404,"Active")=0,"CLIENT NOT ACTIVE",IF(COUNTIF(Teams!$A$5:$A$104,D172)=0,"TEAM NOT FOUND","OK")))))</x:f>
      </x:c>
    </x:row>
    <x:row r="173">
      <x:c r="E173" s="102"/>
      <x:c r="G173" s="100" t="str">
        <x:f>IF(COUNTA(A173:F173)=0,"",IF(OR(A173="",B173="",C173="",D173=""),"COMPLETE ROW",IF(COUNTIF(Clients!$A$5:$A$404,C173)=0,"CLIENT NOT FOUND",IF(COUNTIFS(Clients!$A$5:$A$404,C173,Clients!$B$5:$B$404,"Active")=0,"CLIENT NOT ACTIVE",IF(COUNTIF(Teams!$A$5:$A$104,D173)=0,"TEAM NOT FOUND","OK")))))</x:f>
      </x:c>
    </x:row>
    <x:row r="174">
      <x:c r="E174" s="102"/>
      <x:c r="G174" s="100" t="str">
        <x:f>IF(COUNTA(A174:F174)=0,"",IF(OR(A174="",B174="",C174="",D174=""),"COMPLETE ROW",IF(COUNTIF(Clients!$A$5:$A$404,C174)=0,"CLIENT NOT FOUND",IF(COUNTIFS(Clients!$A$5:$A$404,C174,Clients!$B$5:$B$404,"Active")=0,"CLIENT NOT ACTIVE",IF(COUNTIF(Teams!$A$5:$A$104,D174)=0,"TEAM NOT FOUND","OK")))))</x:f>
      </x:c>
    </x:row>
    <x:row r="175">
      <x:c r="E175" s="102"/>
      <x:c r="G175" s="100" t="str">
        <x:f>IF(COUNTA(A175:F175)=0,"",IF(OR(A175="",B175="",C175="",D175=""),"COMPLETE ROW",IF(COUNTIF(Clients!$A$5:$A$404,C175)=0,"CLIENT NOT FOUND",IF(COUNTIFS(Clients!$A$5:$A$404,C175,Clients!$B$5:$B$404,"Active")=0,"CLIENT NOT ACTIVE",IF(COUNTIF(Teams!$A$5:$A$104,D175)=0,"TEAM NOT FOUND","OK")))))</x:f>
      </x:c>
    </x:row>
    <x:row r="176">
      <x:c r="E176" s="102"/>
      <x:c r="G176" s="100" t="str">
        <x:f>IF(COUNTA(A176:F176)=0,"",IF(OR(A176="",B176="",C176="",D176=""),"COMPLETE ROW",IF(COUNTIF(Clients!$A$5:$A$404,C176)=0,"CLIENT NOT FOUND",IF(COUNTIFS(Clients!$A$5:$A$404,C176,Clients!$B$5:$B$404,"Active")=0,"CLIENT NOT ACTIVE",IF(COUNTIF(Teams!$A$5:$A$104,D176)=0,"TEAM NOT FOUND","OK")))))</x:f>
      </x:c>
    </x:row>
    <x:row r="177">
      <x:c r="E177" s="102"/>
      <x:c r="G177" s="100" t="str">
        <x:f>IF(COUNTA(A177:F177)=0,"",IF(OR(A177="",B177="",C177="",D177=""),"COMPLETE ROW",IF(COUNTIF(Clients!$A$5:$A$404,C177)=0,"CLIENT NOT FOUND",IF(COUNTIFS(Clients!$A$5:$A$404,C177,Clients!$B$5:$B$404,"Active")=0,"CLIENT NOT ACTIVE",IF(COUNTIF(Teams!$A$5:$A$104,D177)=0,"TEAM NOT FOUND","OK")))))</x:f>
      </x:c>
    </x:row>
    <x:row r="178">
      <x:c r="E178" s="102"/>
      <x:c r="G178" s="100" t="str">
        <x:f>IF(COUNTA(A178:F178)=0,"",IF(OR(A178="",B178="",C178="",D178=""),"COMPLETE ROW",IF(COUNTIF(Clients!$A$5:$A$404,C178)=0,"CLIENT NOT FOUND",IF(COUNTIFS(Clients!$A$5:$A$404,C178,Clients!$B$5:$B$404,"Active")=0,"CLIENT NOT ACTIVE",IF(COUNTIF(Teams!$A$5:$A$104,D178)=0,"TEAM NOT FOUND","OK")))))</x:f>
      </x:c>
    </x:row>
    <x:row r="179">
      <x:c r="E179" s="102"/>
      <x:c r="G179" s="100" t="str">
        <x:f>IF(COUNTA(A179:F179)=0,"",IF(OR(A179="",B179="",C179="",D179=""),"COMPLETE ROW",IF(COUNTIF(Clients!$A$5:$A$404,C179)=0,"CLIENT NOT FOUND",IF(COUNTIFS(Clients!$A$5:$A$404,C179,Clients!$B$5:$B$404,"Active")=0,"CLIENT NOT ACTIVE",IF(COUNTIF(Teams!$A$5:$A$104,D179)=0,"TEAM NOT FOUND","OK")))))</x:f>
      </x:c>
    </x:row>
    <x:row r="180">
      <x:c r="E180" s="102"/>
      <x:c r="G180" s="100" t="str">
        <x:f>IF(COUNTA(A180:F180)=0,"",IF(OR(A180="",B180="",C180="",D180=""),"COMPLETE ROW",IF(COUNTIF(Clients!$A$5:$A$404,C180)=0,"CLIENT NOT FOUND",IF(COUNTIFS(Clients!$A$5:$A$404,C180,Clients!$B$5:$B$404,"Active")=0,"CLIENT NOT ACTIVE",IF(COUNTIF(Teams!$A$5:$A$104,D180)=0,"TEAM NOT FOUND","OK")))))</x:f>
      </x:c>
    </x:row>
    <x:row r="181">
      <x:c r="E181" s="102"/>
      <x:c r="G181" s="100" t="str">
        <x:f>IF(COUNTA(A181:F181)=0,"",IF(OR(A181="",B181="",C181="",D181=""),"COMPLETE ROW",IF(COUNTIF(Clients!$A$5:$A$404,C181)=0,"CLIENT NOT FOUND",IF(COUNTIFS(Clients!$A$5:$A$404,C181,Clients!$B$5:$B$404,"Active")=0,"CLIENT NOT ACTIVE",IF(COUNTIF(Teams!$A$5:$A$104,D181)=0,"TEAM NOT FOUND","OK")))))</x:f>
      </x:c>
    </x:row>
    <x:row r="182">
      <x:c r="E182" s="102"/>
      <x:c r="G182" s="100" t="str">
        <x:f>IF(COUNTA(A182:F182)=0,"",IF(OR(A182="",B182="",C182="",D182=""),"COMPLETE ROW",IF(COUNTIF(Clients!$A$5:$A$404,C182)=0,"CLIENT NOT FOUND",IF(COUNTIFS(Clients!$A$5:$A$404,C182,Clients!$B$5:$B$404,"Active")=0,"CLIENT NOT ACTIVE",IF(COUNTIF(Teams!$A$5:$A$104,D182)=0,"TEAM NOT FOUND","OK")))))</x:f>
      </x:c>
    </x:row>
    <x:row r="183">
      <x:c r="E183" s="102"/>
      <x:c r="G183" s="100" t="str">
        <x:f>IF(COUNTA(A183:F183)=0,"",IF(OR(A183="",B183="",C183="",D183=""),"COMPLETE ROW",IF(COUNTIF(Clients!$A$5:$A$404,C183)=0,"CLIENT NOT FOUND",IF(COUNTIFS(Clients!$A$5:$A$404,C183,Clients!$B$5:$B$404,"Active")=0,"CLIENT NOT ACTIVE",IF(COUNTIF(Teams!$A$5:$A$104,D183)=0,"TEAM NOT FOUND","OK")))))</x:f>
      </x:c>
    </x:row>
    <x:row r="184">
      <x:c r="E184" s="102"/>
      <x:c r="G184" s="100" t="str">
        <x:f>IF(COUNTA(A184:F184)=0,"",IF(OR(A184="",B184="",C184="",D184=""),"COMPLETE ROW",IF(COUNTIF(Clients!$A$5:$A$404,C184)=0,"CLIENT NOT FOUND",IF(COUNTIFS(Clients!$A$5:$A$404,C184,Clients!$B$5:$B$404,"Active")=0,"CLIENT NOT ACTIVE",IF(COUNTIF(Teams!$A$5:$A$104,D184)=0,"TEAM NOT FOUND","OK")))))</x:f>
      </x:c>
    </x:row>
    <x:row r="185">
      <x:c r="E185" s="102"/>
      <x:c r="G185" s="100" t="str">
        <x:f>IF(COUNTA(A185:F185)=0,"",IF(OR(A185="",B185="",C185="",D185=""),"COMPLETE ROW",IF(COUNTIF(Clients!$A$5:$A$404,C185)=0,"CLIENT NOT FOUND",IF(COUNTIFS(Clients!$A$5:$A$404,C185,Clients!$B$5:$B$404,"Active")=0,"CLIENT NOT ACTIVE",IF(COUNTIF(Teams!$A$5:$A$104,D185)=0,"TEAM NOT FOUND","OK")))))</x:f>
      </x:c>
    </x:row>
    <x:row r="186">
      <x:c r="E186" s="102"/>
      <x:c r="G186" s="100" t="str">
        <x:f>IF(COUNTA(A186:F186)=0,"",IF(OR(A186="",B186="",C186="",D186=""),"COMPLETE ROW",IF(COUNTIF(Clients!$A$5:$A$404,C186)=0,"CLIENT NOT FOUND",IF(COUNTIFS(Clients!$A$5:$A$404,C186,Clients!$B$5:$B$404,"Active")=0,"CLIENT NOT ACTIVE",IF(COUNTIF(Teams!$A$5:$A$104,D186)=0,"TEAM NOT FOUND","OK")))))</x:f>
      </x:c>
    </x:row>
    <x:row r="187">
      <x:c r="E187" s="102"/>
      <x:c r="G187" s="100" t="str">
        <x:f>IF(COUNTA(A187:F187)=0,"",IF(OR(A187="",B187="",C187="",D187=""),"COMPLETE ROW",IF(COUNTIF(Clients!$A$5:$A$404,C187)=0,"CLIENT NOT FOUND",IF(COUNTIFS(Clients!$A$5:$A$404,C187,Clients!$B$5:$B$404,"Active")=0,"CLIENT NOT ACTIVE",IF(COUNTIF(Teams!$A$5:$A$104,D187)=0,"TEAM NOT FOUND","OK")))))</x:f>
      </x:c>
    </x:row>
    <x:row r="188">
      <x:c r="E188" s="102"/>
      <x:c r="G188" s="100" t="str">
        <x:f>IF(COUNTA(A188:F188)=0,"",IF(OR(A188="",B188="",C188="",D188=""),"COMPLETE ROW",IF(COUNTIF(Clients!$A$5:$A$404,C188)=0,"CLIENT NOT FOUND",IF(COUNTIFS(Clients!$A$5:$A$404,C188,Clients!$B$5:$B$404,"Active")=0,"CLIENT NOT ACTIVE",IF(COUNTIF(Teams!$A$5:$A$104,D188)=0,"TEAM NOT FOUND","OK")))))</x:f>
      </x:c>
    </x:row>
    <x:row r="189">
      <x:c r="E189" s="102"/>
      <x:c r="G189" s="100" t="str">
        <x:f>IF(COUNTA(A189:F189)=0,"",IF(OR(A189="",B189="",C189="",D189=""),"COMPLETE ROW",IF(COUNTIF(Clients!$A$5:$A$404,C189)=0,"CLIENT NOT FOUND",IF(COUNTIFS(Clients!$A$5:$A$404,C189,Clients!$B$5:$B$404,"Active")=0,"CLIENT NOT ACTIVE",IF(COUNTIF(Teams!$A$5:$A$104,D189)=0,"TEAM NOT FOUND","OK")))))</x:f>
      </x:c>
    </x:row>
    <x:row r="190">
      <x:c r="E190" s="102"/>
      <x:c r="G190" s="100" t="str">
        <x:f>IF(COUNTA(A190:F190)=0,"",IF(OR(A190="",B190="",C190="",D190=""),"COMPLETE ROW",IF(COUNTIF(Clients!$A$5:$A$404,C190)=0,"CLIENT NOT FOUND",IF(COUNTIFS(Clients!$A$5:$A$404,C190,Clients!$B$5:$B$404,"Active")=0,"CLIENT NOT ACTIVE",IF(COUNTIF(Teams!$A$5:$A$104,D190)=0,"TEAM NOT FOUND","OK")))))</x:f>
      </x:c>
    </x:row>
    <x:row r="191">
      <x:c r="E191" s="102"/>
      <x:c r="G191" s="100" t="str">
        <x:f>IF(COUNTA(A191:F191)=0,"",IF(OR(A191="",B191="",C191="",D191=""),"COMPLETE ROW",IF(COUNTIF(Clients!$A$5:$A$404,C191)=0,"CLIENT NOT FOUND",IF(COUNTIFS(Clients!$A$5:$A$404,C191,Clients!$B$5:$B$404,"Active")=0,"CLIENT NOT ACTIVE",IF(COUNTIF(Teams!$A$5:$A$104,D191)=0,"TEAM NOT FOUND","OK")))))</x:f>
      </x:c>
    </x:row>
    <x:row r="192">
      <x:c r="E192" s="102"/>
      <x:c r="G192" s="100" t="str">
        <x:f>IF(COUNTA(A192:F192)=0,"",IF(OR(A192="",B192="",C192="",D192=""),"COMPLETE ROW",IF(COUNTIF(Clients!$A$5:$A$404,C192)=0,"CLIENT NOT FOUND",IF(COUNTIFS(Clients!$A$5:$A$404,C192,Clients!$B$5:$B$404,"Active")=0,"CLIENT NOT ACTIVE",IF(COUNTIF(Teams!$A$5:$A$104,D192)=0,"TEAM NOT FOUND","OK")))))</x:f>
      </x:c>
    </x:row>
    <x:row r="193">
      <x:c r="E193" s="102"/>
      <x:c r="G193" s="100" t="str">
        <x:f>IF(COUNTA(A193:F193)=0,"",IF(OR(A193="",B193="",C193="",D193=""),"COMPLETE ROW",IF(COUNTIF(Clients!$A$5:$A$404,C193)=0,"CLIENT NOT FOUND",IF(COUNTIFS(Clients!$A$5:$A$404,C193,Clients!$B$5:$B$404,"Active")=0,"CLIENT NOT ACTIVE",IF(COUNTIF(Teams!$A$5:$A$104,D193)=0,"TEAM NOT FOUND","OK")))))</x:f>
      </x:c>
    </x:row>
    <x:row r="194">
      <x:c r="E194" s="102"/>
      <x:c r="G194" s="100" t="str">
        <x:f>IF(COUNTA(A194:F194)=0,"",IF(OR(A194="",B194="",C194="",D194=""),"COMPLETE ROW",IF(COUNTIF(Clients!$A$5:$A$404,C194)=0,"CLIENT NOT FOUND",IF(COUNTIFS(Clients!$A$5:$A$404,C194,Clients!$B$5:$B$404,"Active")=0,"CLIENT NOT ACTIVE",IF(COUNTIF(Teams!$A$5:$A$104,D194)=0,"TEAM NOT FOUND","OK")))))</x:f>
      </x:c>
    </x:row>
    <x:row r="195">
      <x:c r="E195" s="102"/>
      <x:c r="G195" s="100" t="str">
        <x:f>IF(COUNTA(A195:F195)=0,"",IF(OR(A195="",B195="",C195="",D195=""),"COMPLETE ROW",IF(COUNTIF(Clients!$A$5:$A$404,C195)=0,"CLIENT NOT FOUND",IF(COUNTIFS(Clients!$A$5:$A$404,C195,Clients!$B$5:$B$404,"Active")=0,"CLIENT NOT ACTIVE",IF(COUNTIF(Teams!$A$5:$A$104,D195)=0,"TEAM NOT FOUND","OK")))))</x:f>
      </x:c>
    </x:row>
    <x:row r="196">
      <x:c r="E196" s="102"/>
      <x:c r="G196" s="100" t="str">
        <x:f>IF(COUNTA(A196:F196)=0,"",IF(OR(A196="",B196="",C196="",D196=""),"COMPLETE ROW",IF(COUNTIF(Clients!$A$5:$A$404,C196)=0,"CLIENT NOT FOUND",IF(COUNTIFS(Clients!$A$5:$A$404,C196,Clients!$B$5:$B$404,"Active")=0,"CLIENT NOT ACTIVE",IF(COUNTIF(Teams!$A$5:$A$104,D196)=0,"TEAM NOT FOUND","OK")))))</x:f>
      </x:c>
    </x:row>
    <x:row r="197">
      <x:c r="E197" s="102"/>
      <x:c r="G197" s="100" t="str">
        <x:f>IF(COUNTA(A197:F197)=0,"",IF(OR(A197="",B197="",C197="",D197=""),"COMPLETE ROW",IF(COUNTIF(Clients!$A$5:$A$404,C197)=0,"CLIENT NOT FOUND",IF(COUNTIFS(Clients!$A$5:$A$404,C197,Clients!$B$5:$B$404,"Active")=0,"CLIENT NOT ACTIVE",IF(COUNTIF(Teams!$A$5:$A$104,D197)=0,"TEAM NOT FOUND","OK")))))</x:f>
      </x:c>
    </x:row>
    <x:row r="198">
      <x:c r="E198" s="102"/>
      <x:c r="G198" s="100" t="str">
        <x:f>IF(COUNTA(A198:F198)=0,"",IF(OR(A198="",B198="",C198="",D198=""),"COMPLETE ROW",IF(COUNTIF(Clients!$A$5:$A$404,C198)=0,"CLIENT NOT FOUND",IF(COUNTIFS(Clients!$A$5:$A$404,C198,Clients!$B$5:$B$404,"Active")=0,"CLIENT NOT ACTIVE",IF(COUNTIF(Teams!$A$5:$A$104,D198)=0,"TEAM NOT FOUND","OK")))))</x:f>
      </x:c>
    </x:row>
    <x:row r="199">
      <x:c r="E199" s="102"/>
      <x:c r="G199" s="100" t="str">
        <x:f>IF(COUNTA(A199:F199)=0,"",IF(OR(A199="",B199="",C199="",D199=""),"COMPLETE ROW",IF(COUNTIF(Clients!$A$5:$A$404,C199)=0,"CLIENT NOT FOUND",IF(COUNTIFS(Clients!$A$5:$A$404,C199,Clients!$B$5:$B$404,"Active")=0,"CLIENT NOT ACTIVE",IF(COUNTIF(Teams!$A$5:$A$104,D199)=0,"TEAM NOT FOUND","OK")))))</x:f>
      </x:c>
    </x:row>
    <x:row r="200">
      <x:c r="E200" s="102"/>
      <x:c r="G200" s="100" t="str">
        <x:f>IF(COUNTA(A200:F200)=0,"",IF(OR(A200="",B200="",C200="",D200=""),"COMPLETE ROW",IF(COUNTIF(Clients!$A$5:$A$404,C200)=0,"CLIENT NOT FOUND",IF(COUNTIFS(Clients!$A$5:$A$404,C200,Clients!$B$5:$B$404,"Active")=0,"CLIENT NOT ACTIVE",IF(COUNTIF(Teams!$A$5:$A$104,D200)=0,"TEAM NOT FOUND","OK")))))</x:f>
      </x:c>
    </x:row>
    <x:row r="201">
      <x:c r="E201" s="102"/>
      <x:c r="G201" s="100" t="str">
        <x:f>IF(COUNTA(A201:F201)=0,"",IF(OR(A201="",B201="",C201="",D201=""),"COMPLETE ROW",IF(COUNTIF(Clients!$A$5:$A$404,C201)=0,"CLIENT NOT FOUND",IF(COUNTIFS(Clients!$A$5:$A$404,C201,Clients!$B$5:$B$404,"Active")=0,"CLIENT NOT ACTIVE",IF(COUNTIF(Teams!$A$5:$A$104,D201)=0,"TEAM NOT FOUND","OK")))))</x:f>
      </x:c>
    </x:row>
    <x:row r="202">
      <x:c r="E202" s="102"/>
      <x:c r="G202" s="100" t="str">
        <x:f>IF(COUNTA(A202:F202)=0,"",IF(OR(A202="",B202="",C202="",D202=""),"COMPLETE ROW",IF(COUNTIF(Clients!$A$5:$A$404,C202)=0,"CLIENT NOT FOUND",IF(COUNTIFS(Clients!$A$5:$A$404,C202,Clients!$B$5:$B$404,"Active")=0,"CLIENT NOT ACTIVE",IF(COUNTIF(Teams!$A$5:$A$104,D202)=0,"TEAM NOT FOUND","OK")))))</x:f>
      </x:c>
    </x:row>
    <x:row r="203">
      <x:c r="E203" s="102"/>
      <x:c r="G203" s="100" t="str">
        <x:f>IF(COUNTA(A203:F203)=0,"",IF(OR(A203="",B203="",C203="",D203=""),"COMPLETE ROW",IF(COUNTIF(Clients!$A$5:$A$404,C203)=0,"CLIENT NOT FOUND",IF(COUNTIFS(Clients!$A$5:$A$404,C203,Clients!$B$5:$B$404,"Active")=0,"CLIENT NOT ACTIVE",IF(COUNTIF(Teams!$A$5:$A$104,D203)=0,"TEAM NOT FOUND","OK")))))</x:f>
      </x:c>
    </x:row>
    <x:row r="204">
      <x:c r="E204" s="102"/>
      <x:c r="G204" s="100" t="str">
        <x:f>IF(COUNTA(A204:F204)=0,"",IF(OR(A204="",B204="",C204="",D204=""),"COMPLETE ROW",IF(COUNTIF(Clients!$A$5:$A$404,C204)=0,"CLIENT NOT FOUND",IF(COUNTIFS(Clients!$A$5:$A$404,C204,Clients!$B$5:$B$404,"Active")=0,"CLIENT NOT ACTIVE",IF(COUNTIF(Teams!$A$5:$A$104,D204)=0,"TEAM NOT FOUND","OK")))))</x:f>
      </x:c>
    </x:row>
    <x:row r="205">
      <x:c r="E205" s="102"/>
      <x:c r="G205" s="100" t="str">
        <x:f>IF(COUNTA(A205:F205)=0,"",IF(OR(A205="",B205="",C205="",D205=""),"COMPLETE ROW",IF(COUNTIF(Clients!$A$5:$A$404,C205)=0,"CLIENT NOT FOUND",IF(COUNTIFS(Clients!$A$5:$A$404,C205,Clients!$B$5:$B$404,"Active")=0,"CLIENT NOT ACTIVE",IF(COUNTIF(Teams!$A$5:$A$104,D205)=0,"TEAM NOT FOUND","OK")))))</x:f>
      </x:c>
    </x:row>
    <x:row r="206">
      <x:c r="E206" s="102"/>
      <x:c r="G206" s="100" t="str">
        <x:f>IF(COUNTA(A206:F206)=0,"",IF(OR(A206="",B206="",C206="",D206=""),"COMPLETE ROW",IF(COUNTIF(Clients!$A$5:$A$404,C206)=0,"CLIENT NOT FOUND",IF(COUNTIFS(Clients!$A$5:$A$404,C206,Clients!$B$5:$B$404,"Active")=0,"CLIENT NOT ACTIVE",IF(COUNTIF(Teams!$A$5:$A$104,D206)=0,"TEAM NOT FOUND","OK")))))</x:f>
      </x:c>
    </x:row>
    <x:row r="207">
      <x:c r="E207" s="102"/>
      <x:c r="G207" s="100" t="str">
        <x:f>IF(COUNTA(A207:F207)=0,"",IF(OR(A207="",B207="",C207="",D207=""),"COMPLETE ROW",IF(COUNTIF(Clients!$A$5:$A$404,C207)=0,"CLIENT NOT FOUND",IF(COUNTIFS(Clients!$A$5:$A$404,C207,Clients!$B$5:$B$404,"Active")=0,"CLIENT NOT ACTIVE",IF(COUNTIF(Teams!$A$5:$A$104,D207)=0,"TEAM NOT FOUND","OK")))))</x:f>
      </x:c>
    </x:row>
    <x:row r="208">
      <x:c r="E208" s="102"/>
      <x:c r="G208" s="100" t="str">
        <x:f>IF(COUNTA(A208:F208)=0,"",IF(OR(A208="",B208="",C208="",D208=""),"COMPLETE ROW",IF(COUNTIF(Clients!$A$5:$A$404,C208)=0,"CLIENT NOT FOUND",IF(COUNTIFS(Clients!$A$5:$A$404,C208,Clients!$B$5:$B$404,"Active")=0,"CLIENT NOT ACTIVE",IF(COUNTIF(Teams!$A$5:$A$104,D208)=0,"TEAM NOT FOUND","OK")))))</x:f>
      </x:c>
    </x:row>
    <x:row r="209">
      <x:c r="E209" s="102"/>
      <x:c r="G209" s="100" t="str">
        <x:f>IF(COUNTA(A209:F209)=0,"",IF(OR(A209="",B209="",C209="",D209=""),"COMPLETE ROW",IF(COUNTIF(Clients!$A$5:$A$404,C209)=0,"CLIENT NOT FOUND",IF(COUNTIFS(Clients!$A$5:$A$404,C209,Clients!$B$5:$B$404,"Active")=0,"CLIENT NOT ACTIVE",IF(COUNTIF(Teams!$A$5:$A$104,D209)=0,"TEAM NOT FOUND","OK")))))</x:f>
      </x:c>
    </x:row>
    <x:row r="210">
      <x:c r="E210" s="102"/>
      <x:c r="G210" s="100" t="str">
        <x:f>IF(COUNTA(A210:F210)=0,"",IF(OR(A210="",B210="",C210="",D210=""),"COMPLETE ROW",IF(COUNTIF(Clients!$A$5:$A$404,C210)=0,"CLIENT NOT FOUND",IF(COUNTIFS(Clients!$A$5:$A$404,C210,Clients!$B$5:$B$404,"Active")=0,"CLIENT NOT ACTIVE",IF(COUNTIF(Teams!$A$5:$A$104,D210)=0,"TEAM NOT FOUND","OK")))))</x:f>
      </x:c>
    </x:row>
    <x:row r="211">
      <x:c r="E211" s="102"/>
      <x:c r="G211" s="100" t="str">
        <x:f>IF(COUNTA(A211:F211)=0,"",IF(OR(A211="",B211="",C211="",D211=""),"COMPLETE ROW",IF(COUNTIF(Clients!$A$5:$A$404,C211)=0,"CLIENT NOT FOUND",IF(COUNTIFS(Clients!$A$5:$A$404,C211,Clients!$B$5:$B$404,"Active")=0,"CLIENT NOT ACTIVE",IF(COUNTIF(Teams!$A$5:$A$104,D211)=0,"TEAM NOT FOUND","OK")))))</x:f>
      </x:c>
    </x:row>
    <x:row r="212">
      <x:c r="E212" s="102"/>
      <x:c r="G212" s="100" t="str">
        <x:f>IF(COUNTA(A212:F212)=0,"",IF(OR(A212="",B212="",C212="",D212=""),"COMPLETE ROW",IF(COUNTIF(Clients!$A$5:$A$404,C212)=0,"CLIENT NOT FOUND",IF(COUNTIFS(Clients!$A$5:$A$404,C212,Clients!$B$5:$B$404,"Active")=0,"CLIENT NOT ACTIVE",IF(COUNTIF(Teams!$A$5:$A$104,D212)=0,"TEAM NOT FOUND","OK")))))</x:f>
      </x:c>
    </x:row>
    <x:row r="213">
      <x:c r="E213" s="102"/>
      <x:c r="G213" s="100" t="str">
        <x:f>IF(COUNTA(A213:F213)=0,"",IF(OR(A213="",B213="",C213="",D213=""),"COMPLETE ROW",IF(COUNTIF(Clients!$A$5:$A$404,C213)=0,"CLIENT NOT FOUND",IF(COUNTIFS(Clients!$A$5:$A$404,C213,Clients!$B$5:$B$404,"Active")=0,"CLIENT NOT ACTIVE",IF(COUNTIF(Teams!$A$5:$A$104,D213)=0,"TEAM NOT FOUND","OK")))))</x:f>
      </x:c>
    </x:row>
    <x:row r="214">
      <x:c r="E214" s="102"/>
      <x:c r="G214" s="100" t="str">
        <x:f>IF(COUNTA(A214:F214)=0,"",IF(OR(A214="",B214="",C214="",D214=""),"COMPLETE ROW",IF(COUNTIF(Clients!$A$5:$A$404,C214)=0,"CLIENT NOT FOUND",IF(COUNTIFS(Clients!$A$5:$A$404,C214,Clients!$B$5:$B$404,"Active")=0,"CLIENT NOT ACTIVE",IF(COUNTIF(Teams!$A$5:$A$104,D214)=0,"TEAM NOT FOUND","OK")))))</x:f>
      </x:c>
    </x:row>
    <x:row r="215">
      <x:c r="E215" s="102"/>
      <x:c r="G215" s="100" t="str">
        <x:f>IF(COUNTA(A215:F215)=0,"",IF(OR(A215="",B215="",C215="",D215=""),"COMPLETE ROW",IF(COUNTIF(Clients!$A$5:$A$404,C215)=0,"CLIENT NOT FOUND",IF(COUNTIFS(Clients!$A$5:$A$404,C215,Clients!$B$5:$B$404,"Active")=0,"CLIENT NOT ACTIVE",IF(COUNTIF(Teams!$A$5:$A$104,D215)=0,"TEAM NOT FOUND","OK")))))</x:f>
      </x:c>
    </x:row>
    <x:row r="216">
      <x:c r="E216" s="102"/>
      <x:c r="G216" s="100" t="str">
        <x:f>IF(COUNTA(A216:F216)=0,"",IF(OR(A216="",B216="",C216="",D216=""),"COMPLETE ROW",IF(COUNTIF(Clients!$A$5:$A$404,C216)=0,"CLIENT NOT FOUND",IF(COUNTIFS(Clients!$A$5:$A$404,C216,Clients!$B$5:$B$404,"Active")=0,"CLIENT NOT ACTIVE",IF(COUNTIF(Teams!$A$5:$A$104,D216)=0,"TEAM NOT FOUND","OK")))))</x:f>
      </x:c>
    </x:row>
    <x:row r="217">
      <x:c r="E217" s="102"/>
      <x:c r="G217" s="100" t="str">
        <x:f>IF(COUNTA(A217:F217)=0,"",IF(OR(A217="",B217="",C217="",D217=""),"COMPLETE ROW",IF(COUNTIF(Clients!$A$5:$A$404,C217)=0,"CLIENT NOT FOUND",IF(COUNTIFS(Clients!$A$5:$A$404,C217,Clients!$B$5:$B$404,"Active")=0,"CLIENT NOT ACTIVE",IF(COUNTIF(Teams!$A$5:$A$104,D217)=0,"TEAM NOT FOUND","OK")))))</x:f>
      </x:c>
    </x:row>
    <x:row r="218">
      <x:c r="E218" s="102"/>
      <x:c r="G218" s="100" t="str">
        <x:f>IF(COUNTA(A218:F218)=0,"",IF(OR(A218="",B218="",C218="",D218=""),"COMPLETE ROW",IF(COUNTIF(Clients!$A$5:$A$404,C218)=0,"CLIENT NOT FOUND",IF(COUNTIFS(Clients!$A$5:$A$404,C218,Clients!$B$5:$B$404,"Active")=0,"CLIENT NOT ACTIVE",IF(COUNTIF(Teams!$A$5:$A$104,D218)=0,"TEAM NOT FOUND","OK")))))</x:f>
      </x:c>
    </x:row>
    <x:row r="219">
      <x:c r="E219" s="102"/>
      <x:c r="G219" s="100" t="str">
        <x:f>IF(COUNTA(A219:F219)=0,"",IF(OR(A219="",B219="",C219="",D219=""),"COMPLETE ROW",IF(COUNTIF(Clients!$A$5:$A$404,C219)=0,"CLIENT NOT FOUND",IF(COUNTIFS(Clients!$A$5:$A$404,C219,Clients!$B$5:$B$404,"Active")=0,"CLIENT NOT ACTIVE",IF(COUNTIF(Teams!$A$5:$A$104,D219)=0,"TEAM NOT FOUND","OK")))))</x:f>
      </x:c>
    </x:row>
    <x:row r="220">
      <x:c r="E220" s="102"/>
      <x:c r="G220" s="100" t="str">
        <x:f>IF(COUNTA(A220:F220)=0,"",IF(OR(A220="",B220="",C220="",D220=""),"COMPLETE ROW",IF(COUNTIF(Clients!$A$5:$A$404,C220)=0,"CLIENT NOT FOUND",IF(COUNTIFS(Clients!$A$5:$A$404,C220,Clients!$B$5:$B$404,"Active")=0,"CLIENT NOT ACTIVE",IF(COUNTIF(Teams!$A$5:$A$104,D220)=0,"TEAM NOT FOUND","OK")))))</x:f>
      </x:c>
    </x:row>
    <x:row r="221">
      <x:c r="E221" s="102"/>
      <x:c r="G221" s="100" t="str">
        <x:f>IF(COUNTA(A221:F221)=0,"",IF(OR(A221="",B221="",C221="",D221=""),"COMPLETE ROW",IF(COUNTIF(Clients!$A$5:$A$404,C221)=0,"CLIENT NOT FOUND",IF(COUNTIFS(Clients!$A$5:$A$404,C221,Clients!$B$5:$B$404,"Active")=0,"CLIENT NOT ACTIVE",IF(COUNTIF(Teams!$A$5:$A$104,D221)=0,"TEAM NOT FOUND","OK")))))</x:f>
      </x:c>
    </x:row>
    <x:row r="222">
      <x:c r="E222" s="102"/>
      <x:c r="G222" s="100" t="str">
        <x:f>IF(COUNTA(A222:F222)=0,"",IF(OR(A222="",B222="",C222="",D222=""),"COMPLETE ROW",IF(COUNTIF(Clients!$A$5:$A$404,C222)=0,"CLIENT NOT FOUND",IF(COUNTIFS(Clients!$A$5:$A$404,C222,Clients!$B$5:$B$404,"Active")=0,"CLIENT NOT ACTIVE",IF(COUNTIF(Teams!$A$5:$A$104,D222)=0,"TEAM NOT FOUND","OK")))))</x:f>
      </x:c>
    </x:row>
    <x:row r="223">
      <x:c r="E223" s="102"/>
      <x:c r="G223" s="100" t="str">
        <x:f>IF(COUNTA(A223:F223)=0,"",IF(OR(A223="",B223="",C223="",D223=""),"COMPLETE ROW",IF(COUNTIF(Clients!$A$5:$A$404,C223)=0,"CLIENT NOT FOUND",IF(COUNTIFS(Clients!$A$5:$A$404,C223,Clients!$B$5:$B$404,"Active")=0,"CLIENT NOT ACTIVE",IF(COUNTIF(Teams!$A$5:$A$104,D223)=0,"TEAM NOT FOUND","OK")))))</x:f>
      </x:c>
    </x:row>
    <x:row r="224">
      <x:c r="E224" s="102"/>
      <x:c r="G224" s="100" t="str">
        <x:f>IF(COUNTA(A224:F224)=0,"",IF(OR(A224="",B224="",C224="",D224=""),"COMPLETE ROW",IF(COUNTIF(Clients!$A$5:$A$404,C224)=0,"CLIENT NOT FOUND",IF(COUNTIFS(Clients!$A$5:$A$404,C224,Clients!$B$5:$B$404,"Active")=0,"CLIENT NOT ACTIVE",IF(COUNTIF(Teams!$A$5:$A$104,D224)=0,"TEAM NOT FOUND","OK")))))</x:f>
      </x:c>
    </x:row>
    <x:row r="225">
      <x:c r="E225" s="102"/>
      <x:c r="G225" s="100" t="str">
        <x:f>IF(COUNTA(A225:F225)=0,"",IF(OR(A225="",B225="",C225="",D225=""),"COMPLETE ROW",IF(COUNTIF(Clients!$A$5:$A$404,C225)=0,"CLIENT NOT FOUND",IF(COUNTIFS(Clients!$A$5:$A$404,C225,Clients!$B$5:$B$404,"Active")=0,"CLIENT NOT ACTIVE",IF(COUNTIF(Teams!$A$5:$A$104,D225)=0,"TEAM NOT FOUND","OK")))))</x:f>
      </x:c>
    </x:row>
    <x:row r="226">
      <x:c r="E226" s="102"/>
      <x:c r="G226" s="100" t="str">
        <x:f>IF(COUNTA(A226:F226)=0,"",IF(OR(A226="",B226="",C226="",D226=""),"COMPLETE ROW",IF(COUNTIF(Clients!$A$5:$A$404,C226)=0,"CLIENT NOT FOUND",IF(COUNTIFS(Clients!$A$5:$A$404,C226,Clients!$B$5:$B$404,"Active")=0,"CLIENT NOT ACTIVE",IF(COUNTIF(Teams!$A$5:$A$104,D226)=0,"TEAM NOT FOUND","OK")))))</x:f>
      </x:c>
    </x:row>
    <x:row r="227">
      <x:c r="E227" s="102"/>
      <x:c r="G227" s="100" t="str">
        <x:f>IF(COUNTA(A227:F227)=0,"",IF(OR(A227="",B227="",C227="",D227=""),"COMPLETE ROW",IF(COUNTIF(Clients!$A$5:$A$404,C227)=0,"CLIENT NOT FOUND",IF(COUNTIFS(Clients!$A$5:$A$404,C227,Clients!$B$5:$B$404,"Active")=0,"CLIENT NOT ACTIVE",IF(COUNTIF(Teams!$A$5:$A$104,D227)=0,"TEAM NOT FOUND","OK")))))</x:f>
      </x:c>
    </x:row>
    <x:row r="228">
      <x:c r="E228" s="102"/>
      <x:c r="G228" s="100" t="str">
        <x:f>IF(COUNTA(A228:F228)=0,"",IF(OR(A228="",B228="",C228="",D228=""),"COMPLETE ROW",IF(COUNTIF(Clients!$A$5:$A$404,C228)=0,"CLIENT NOT FOUND",IF(COUNTIFS(Clients!$A$5:$A$404,C228,Clients!$B$5:$B$404,"Active")=0,"CLIENT NOT ACTIVE",IF(COUNTIF(Teams!$A$5:$A$104,D228)=0,"TEAM NOT FOUND","OK")))))</x:f>
      </x:c>
    </x:row>
    <x:row r="229">
      <x:c r="E229" s="102"/>
      <x:c r="G229" s="100" t="str">
        <x:f>IF(COUNTA(A229:F229)=0,"",IF(OR(A229="",B229="",C229="",D229=""),"COMPLETE ROW",IF(COUNTIF(Clients!$A$5:$A$404,C229)=0,"CLIENT NOT FOUND",IF(COUNTIFS(Clients!$A$5:$A$404,C229,Clients!$B$5:$B$404,"Active")=0,"CLIENT NOT ACTIVE",IF(COUNTIF(Teams!$A$5:$A$104,D229)=0,"TEAM NOT FOUND","OK")))))</x:f>
      </x:c>
    </x:row>
    <x:row r="230">
      <x:c r="E230" s="102"/>
      <x:c r="G230" s="100" t="str">
        <x:f>IF(COUNTA(A230:F230)=0,"",IF(OR(A230="",B230="",C230="",D230=""),"COMPLETE ROW",IF(COUNTIF(Clients!$A$5:$A$404,C230)=0,"CLIENT NOT FOUND",IF(COUNTIFS(Clients!$A$5:$A$404,C230,Clients!$B$5:$B$404,"Active")=0,"CLIENT NOT ACTIVE",IF(COUNTIF(Teams!$A$5:$A$104,D230)=0,"TEAM NOT FOUND","OK")))))</x:f>
      </x:c>
    </x:row>
    <x:row r="231">
      <x:c r="E231" s="102"/>
      <x:c r="G231" s="100" t="str">
        <x:f>IF(COUNTA(A231:F231)=0,"",IF(OR(A231="",B231="",C231="",D231=""),"COMPLETE ROW",IF(COUNTIF(Clients!$A$5:$A$404,C231)=0,"CLIENT NOT FOUND",IF(COUNTIFS(Clients!$A$5:$A$404,C231,Clients!$B$5:$B$404,"Active")=0,"CLIENT NOT ACTIVE",IF(COUNTIF(Teams!$A$5:$A$104,D231)=0,"TEAM NOT FOUND","OK")))))</x:f>
      </x:c>
    </x:row>
    <x:row r="232">
      <x:c r="E232" s="102"/>
      <x:c r="G232" s="100" t="str">
        <x:f>IF(COUNTA(A232:F232)=0,"",IF(OR(A232="",B232="",C232="",D232=""),"COMPLETE ROW",IF(COUNTIF(Clients!$A$5:$A$404,C232)=0,"CLIENT NOT FOUND",IF(COUNTIFS(Clients!$A$5:$A$404,C232,Clients!$B$5:$B$404,"Active")=0,"CLIENT NOT ACTIVE",IF(COUNTIF(Teams!$A$5:$A$104,D232)=0,"TEAM NOT FOUND","OK")))))</x:f>
      </x:c>
    </x:row>
    <x:row r="233">
      <x:c r="E233" s="102"/>
      <x:c r="G233" s="100" t="str">
        <x:f>IF(COUNTA(A233:F233)=0,"",IF(OR(A233="",B233="",C233="",D233=""),"COMPLETE ROW",IF(COUNTIF(Clients!$A$5:$A$404,C233)=0,"CLIENT NOT FOUND",IF(COUNTIFS(Clients!$A$5:$A$404,C233,Clients!$B$5:$B$404,"Active")=0,"CLIENT NOT ACTIVE",IF(COUNTIF(Teams!$A$5:$A$104,D233)=0,"TEAM NOT FOUND","OK")))))</x:f>
      </x:c>
    </x:row>
    <x:row r="234">
      <x:c r="E234" s="102"/>
      <x:c r="G234" s="100" t="str">
        <x:f>IF(COUNTA(A234:F234)=0,"",IF(OR(A234="",B234="",C234="",D234=""),"COMPLETE ROW",IF(COUNTIF(Clients!$A$5:$A$404,C234)=0,"CLIENT NOT FOUND",IF(COUNTIFS(Clients!$A$5:$A$404,C234,Clients!$B$5:$B$404,"Active")=0,"CLIENT NOT ACTIVE",IF(COUNTIF(Teams!$A$5:$A$104,D234)=0,"TEAM NOT FOUND","OK")))))</x:f>
      </x:c>
    </x:row>
    <x:row r="235">
      <x:c r="E235" s="102"/>
      <x:c r="G235" s="100" t="str">
        <x:f>IF(COUNTA(A235:F235)=0,"",IF(OR(A235="",B235="",C235="",D235=""),"COMPLETE ROW",IF(COUNTIF(Clients!$A$5:$A$404,C235)=0,"CLIENT NOT FOUND",IF(COUNTIFS(Clients!$A$5:$A$404,C235,Clients!$B$5:$B$404,"Active")=0,"CLIENT NOT ACTIVE",IF(COUNTIF(Teams!$A$5:$A$104,D235)=0,"TEAM NOT FOUND","OK")))))</x:f>
      </x:c>
    </x:row>
    <x:row r="236">
      <x:c r="E236" s="102"/>
      <x:c r="G236" s="100" t="str">
        <x:f>IF(COUNTA(A236:F236)=0,"",IF(OR(A236="",B236="",C236="",D236=""),"COMPLETE ROW",IF(COUNTIF(Clients!$A$5:$A$404,C236)=0,"CLIENT NOT FOUND",IF(COUNTIFS(Clients!$A$5:$A$404,C236,Clients!$B$5:$B$404,"Active")=0,"CLIENT NOT ACTIVE",IF(COUNTIF(Teams!$A$5:$A$104,D236)=0,"TEAM NOT FOUND","OK")))))</x:f>
      </x:c>
    </x:row>
    <x:row r="237">
      <x:c r="E237" s="102"/>
      <x:c r="G237" s="100" t="str">
        <x:f>IF(COUNTA(A237:F237)=0,"",IF(OR(A237="",B237="",C237="",D237=""),"COMPLETE ROW",IF(COUNTIF(Clients!$A$5:$A$404,C237)=0,"CLIENT NOT FOUND",IF(COUNTIFS(Clients!$A$5:$A$404,C237,Clients!$B$5:$B$404,"Active")=0,"CLIENT NOT ACTIVE",IF(COUNTIF(Teams!$A$5:$A$104,D237)=0,"TEAM NOT FOUND","OK")))))</x:f>
      </x:c>
    </x:row>
    <x:row r="238">
      <x:c r="E238" s="102"/>
      <x:c r="G238" s="100" t="str">
        <x:f>IF(COUNTA(A238:F238)=0,"",IF(OR(A238="",B238="",C238="",D238=""),"COMPLETE ROW",IF(COUNTIF(Clients!$A$5:$A$404,C238)=0,"CLIENT NOT FOUND",IF(COUNTIFS(Clients!$A$5:$A$404,C238,Clients!$B$5:$B$404,"Active")=0,"CLIENT NOT ACTIVE",IF(COUNTIF(Teams!$A$5:$A$104,D238)=0,"TEAM NOT FOUND","OK")))))</x:f>
      </x:c>
    </x:row>
    <x:row r="239">
      <x:c r="E239" s="102"/>
      <x:c r="G239" s="100" t="str">
        <x:f>IF(COUNTA(A239:F239)=0,"",IF(OR(A239="",B239="",C239="",D239=""),"COMPLETE ROW",IF(COUNTIF(Clients!$A$5:$A$404,C239)=0,"CLIENT NOT FOUND",IF(COUNTIFS(Clients!$A$5:$A$404,C239,Clients!$B$5:$B$404,"Active")=0,"CLIENT NOT ACTIVE",IF(COUNTIF(Teams!$A$5:$A$104,D239)=0,"TEAM NOT FOUND","OK")))))</x:f>
      </x:c>
    </x:row>
    <x:row r="240">
      <x:c r="E240" s="102"/>
      <x:c r="G240" s="100" t="str">
        <x:f>IF(COUNTA(A240:F240)=0,"",IF(OR(A240="",B240="",C240="",D240=""),"COMPLETE ROW",IF(COUNTIF(Clients!$A$5:$A$404,C240)=0,"CLIENT NOT FOUND",IF(COUNTIFS(Clients!$A$5:$A$404,C240,Clients!$B$5:$B$404,"Active")=0,"CLIENT NOT ACTIVE",IF(COUNTIF(Teams!$A$5:$A$104,D240)=0,"TEAM NOT FOUND","OK")))))</x:f>
      </x:c>
    </x:row>
    <x:row r="241">
      <x:c r="E241" s="102"/>
      <x:c r="G241" s="100" t="str">
        <x:f>IF(COUNTA(A241:F241)=0,"",IF(OR(A241="",B241="",C241="",D241=""),"COMPLETE ROW",IF(COUNTIF(Clients!$A$5:$A$404,C241)=0,"CLIENT NOT FOUND",IF(COUNTIFS(Clients!$A$5:$A$404,C241,Clients!$B$5:$B$404,"Active")=0,"CLIENT NOT ACTIVE",IF(COUNTIF(Teams!$A$5:$A$104,D241)=0,"TEAM NOT FOUND","OK")))))</x:f>
      </x:c>
    </x:row>
    <x:row r="242">
      <x:c r="E242" s="102"/>
      <x:c r="G242" s="100" t="str">
        <x:f>IF(COUNTA(A242:F242)=0,"",IF(OR(A242="",B242="",C242="",D242=""),"COMPLETE ROW",IF(COUNTIF(Clients!$A$5:$A$404,C242)=0,"CLIENT NOT FOUND",IF(COUNTIFS(Clients!$A$5:$A$404,C242,Clients!$B$5:$B$404,"Active")=0,"CLIENT NOT ACTIVE",IF(COUNTIF(Teams!$A$5:$A$104,D242)=0,"TEAM NOT FOUND","OK")))))</x:f>
      </x:c>
    </x:row>
    <x:row r="243">
      <x:c r="E243" s="102"/>
      <x:c r="G243" s="100" t="str">
        <x:f>IF(COUNTA(A243:F243)=0,"",IF(OR(A243="",B243="",C243="",D243=""),"COMPLETE ROW",IF(COUNTIF(Clients!$A$5:$A$404,C243)=0,"CLIENT NOT FOUND",IF(COUNTIFS(Clients!$A$5:$A$404,C243,Clients!$B$5:$B$404,"Active")=0,"CLIENT NOT ACTIVE",IF(COUNTIF(Teams!$A$5:$A$104,D243)=0,"TEAM NOT FOUND","OK")))))</x:f>
      </x:c>
    </x:row>
    <x:row r="244">
      <x:c r="E244" s="102"/>
      <x:c r="G244" s="100" t="str">
        <x:f>IF(COUNTA(A244:F244)=0,"",IF(OR(A244="",B244="",C244="",D244=""),"COMPLETE ROW",IF(COUNTIF(Clients!$A$5:$A$404,C244)=0,"CLIENT NOT FOUND",IF(COUNTIFS(Clients!$A$5:$A$404,C244,Clients!$B$5:$B$404,"Active")=0,"CLIENT NOT ACTIVE",IF(COUNTIF(Teams!$A$5:$A$104,D244)=0,"TEAM NOT FOUND","OK")))))</x:f>
      </x:c>
    </x:row>
    <x:row r="245">
      <x:c r="E245" s="102"/>
      <x:c r="G245" s="100" t="str">
        <x:f>IF(COUNTA(A245:F245)=0,"",IF(OR(A245="",B245="",C245="",D245=""),"COMPLETE ROW",IF(COUNTIF(Clients!$A$5:$A$404,C245)=0,"CLIENT NOT FOUND",IF(COUNTIFS(Clients!$A$5:$A$404,C245,Clients!$B$5:$B$404,"Active")=0,"CLIENT NOT ACTIVE",IF(COUNTIF(Teams!$A$5:$A$104,D245)=0,"TEAM NOT FOUND","OK")))))</x:f>
      </x:c>
    </x:row>
    <x:row r="246">
      <x:c r="E246" s="102"/>
      <x:c r="G246" s="100" t="str">
        <x:f>IF(COUNTA(A246:F246)=0,"",IF(OR(A246="",B246="",C246="",D246=""),"COMPLETE ROW",IF(COUNTIF(Clients!$A$5:$A$404,C246)=0,"CLIENT NOT FOUND",IF(COUNTIFS(Clients!$A$5:$A$404,C246,Clients!$B$5:$B$404,"Active")=0,"CLIENT NOT ACTIVE",IF(COUNTIF(Teams!$A$5:$A$104,D246)=0,"TEAM NOT FOUND","OK")))))</x:f>
      </x:c>
    </x:row>
    <x:row r="247">
      <x:c r="E247" s="102"/>
      <x:c r="G247" s="100" t="str">
        <x:f>IF(COUNTA(A247:F247)=0,"",IF(OR(A247="",B247="",C247="",D247=""),"COMPLETE ROW",IF(COUNTIF(Clients!$A$5:$A$404,C247)=0,"CLIENT NOT FOUND",IF(COUNTIFS(Clients!$A$5:$A$404,C247,Clients!$B$5:$B$404,"Active")=0,"CLIENT NOT ACTIVE",IF(COUNTIF(Teams!$A$5:$A$104,D247)=0,"TEAM NOT FOUND","OK")))))</x:f>
      </x:c>
    </x:row>
    <x:row r="248">
      <x:c r="E248" s="102"/>
      <x:c r="G248" s="100" t="str">
        <x:f>IF(COUNTA(A248:F248)=0,"",IF(OR(A248="",B248="",C248="",D248=""),"COMPLETE ROW",IF(COUNTIF(Clients!$A$5:$A$404,C248)=0,"CLIENT NOT FOUND",IF(COUNTIFS(Clients!$A$5:$A$404,C248,Clients!$B$5:$B$404,"Active")=0,"CLIENT NOT ACTIVE",IF(COUNTIF(Teams!$A$5:$A$104,D248)=0,"TEAM NOT FOUND","OK")))))</x:f>
      </x:c>
    </x:row>
    <x:row r="249">
      <x:c r="E249" s="102"/>
      <x:c r="G249" s="100" t="str">
        <x:f>IF(COUNTA(A249:F249)=0,"",IF(OR(A249="",B249="",C249="",D249=""),"COMPLETE ROW",IF(COUNTIF(Clients!$A$5:$A$404,C249)=0,"CLIENT NOT FOUND",IF(COUNTIFS(Clients!$A$5:$A$404,C249,Clients!$B$5:$B$404,"Active")=0,"CLIENT NOT ACTIVE",IF(COUNTIF(Teams!$A$5:$A$104,D249)=0,"TEAM NOT FOUND","OK")))))</x:f>
      </x:c>
    </x:row>
    <x:row r="250">
      <x:c r="E250" s="102"/>
      <x:c r="G250" s="100" t="str">
        <x:f>IF(COUNTA(A250:F250)=0,"",IF(OR(A250="",B250="",C250="",D250=""),"COMPLETE ROW",IF(COUNTIF(Clients!$A$5:$A$404,C250)=0,"CLIENT NOT FOUND",IF(COUNTIFS(Clients!$A$5:$A$404,C250,Clients!$B$5:$B$404,"Active")=0,"CLIENT NOT ACTIVE",IF(COUNTIF(Teams!$A$5:$A$104,D250)=0,"TEAM NOT FOUND","OK")))))</x:f>
      </x:c>
    </x:row>
    <x:row r="251">
      <x:c r="E251" s="102"/>
      <x:c r="G251" s="100" t="str">
        <x:f>IF(COUNTA(A251:F251)=0,"",IF(OR(A251="",B251="",C251="",D251=""),"COMPLETE ROW",IF(COUNTIF(Clients!$A$5:$A$404,C251)=0,"CLIENT NOT FOUND",IF(COUNTIFS(Clients!$A$5:$A$404,C251,Clients!$B$5:$B$404,"Active")=0,"CLIENT NOT ACTIVE",IF(COUNTIF(Teams!$A$5:$A$104,D251)=0,"TEAM NOT FOUND","OK")))))</x:f>
      </x:c>
    </x:row>
    <x:row r="252">
      <x:c r="E252" s="102"/>
      <x:c r="G252" s="100" t="str">
        <x:f>IF(COUNTA(A252:F252)=0,"",IF(OR(A252="",B252="",C252="",D252=""),"COMPLETE ROW",IF(COUNTIF(Clients!$A$5:$A$404,C252)=0,"CLIENT NOT FOUND",IF(COUNTIFS(Clients!$A$5:$A$404,C252,Clients!$B$5:$B$404,"Active")=0,"CLIENT NOT ACTIVE",IF(COUNTIF(Teams!$A$5:$A$104,D252)=0,"TEAM NOT FOUND","OK")))))</x:f>
      </x:c>
    </x:row>
    <x:row r="253">
      <x:c r="E253" s="102"/>
      <x:c r="G253" s="100" t="str">
        <x:f>IF(COUNTA(A253:F253)=0,"",IF(OR(A253="",B253="",C253="",D253=""),"COMPLETE ROW",IF(COUNTIF(Clients!$A$5:$A$404,C253)=0,"CLIENT NOT FOUND",IF(COUNTIFS(Clients!$A$5:$A$404,C253,Clients!$B$5:$B$404,"Active")=0,"CLIENT NOT ACTIVE",IF(COUNTIF(Teams!$A$5:$A$104,D253)=0,"TEAM NOT FOUND","OK")))))</x:f>
      </x:c>
    </x:row>
    <x:row r="254">
      <x:c r="E254" s="102"/>
      <x:c r="G254" s="100" t="str">
        <x:f>IF(COUNTA(A254:F254)=0,"",IF(OR(A254="",B254="",C254="",D254=""),"COMPLETE ROW",IF(COUNTIF(Clients!$A$5:$A$404,C254)=0,"CLIENT NOT FOUND",IF(COUNTIFS(Clients!$A$5:$A$404,C254,Clients!$B$5:$B$404,"Active")=0,"CLIENT NOT ACTIVE",IF(COUNTIF(Teams!$A$5:$A$104,D254)=0,"TEAM NOT FOUND","OK")))))</x:f>
      </x:c>
    </x:row>
    <x:row r="255">
      <x:c r="E255" s="102"/>
      <x:c r="G255" s="100" t="str">
        <x:f>IF(COUNTA(A255:F255)=0,"",IF(OR(A255="",B255="",C255="",D255=""),"COMPLETE ROW",IF(COUNTIF(Clients!$A$5:$A$404,C255)=0,"CLIENT NOT FOUND",IF(COUNTIFS(Clients!$A$5:$A$404,C255,Clients!$B$5:$B$404,"Active")=0,"CLIENT NOT ACTIVE",IF(COUNTIF(Teams!$A$5:$A$104,D255)=0,"TEAM NOT FOUND","OK")))))</x:f>
      </x:c>
    </x:row>
    <x:row r="256">
      <x:c r="E256" s="102"/>
      <x:c r="G256" s="100" t="str">
        <x:f>IF(COUNTA(A256:F256)=0,"",IF(OR(A256="",B256="",C256="",D256=""),"COMPLETE ROW",IF(COUNTIF(Clients!$A$5:$A$404,C256)=0,"CLIENT NOT FOUND",IF(COUNTIFS(Clients!$A$5:$A$404,C256,Clients!$B$5:$B$404,"Active")=0,"CLIENT NOT ACTIVE",IF(COUNTIF(Teams!$A$5:$A$104,D256)=0,"TEAM NOT FOUND","OK")))))</x:f>
      </x:c>
    </x:row>
    <x:row r="257">
      <x:c r="E257" s="102"/>
      <x:c r="G257" s="100" t="str">
        <x:f>IF(COUNTA(A257:F257)=0,"",IF(OR(A257="",B257="",C257="",D257=""),"COMPLETE ROW",IF(COUNTIF(Clients!$A$5:$A$404,C257)=0,"CLIENT NOT FOUND",IF(COUNTIFS(Clients!$A$5:$A$404,C257,Clients!$B$5:$B$404,"Active")=0,"CLIENT NOT ACTIVE",IF(COUNTIF(Teams!$A$5:$A$104,D257)=0,"TEAM NOT FOUND","OK")))))</x:f>
      </x:c>
    </x:row>
    <x:row r="258">
      <x:c r="E258" s="102"/>
      <x:c r="G258" s="100" t="str">
        <x:f>IF(COUNTA(A258:F258)=0,"",IF(OR(A258="",B258="",C258="",D258=""),"COMPLETE ROW",IF(COUNTIF(Clients!$A$5:$A$404,C258)=0,"CLIENT NOT FOUND",IF(COUNTIFS(Clients!$A$5:$A$404,C258,Clients!$B$5:$B$404,"Active")=0,"CLIENT NOT ACTIVE",IF(COUNTIF(Teams!$A$5:$A$104,D258)=0,"TEAM NOT FOUND","OK")))))</x:f>
      </x:c>
    </x:row>
    <x:row r="259">
      <x:c r="E259" s="102"/>
      <x:c r="G259" s="100" t="str">
        <x:f>IF(COUNTA(A259:F259)=0,"",IF(OR(A259="",B259="",C259="",D259=""),"COMPLETE ROW",IF(COUNTIF(Clients!$A$5:$A$404,C259)=0,"CLIENT NOT FOUND",IF(COUNTIFS(Clients!$A$5:$A$404,C259,Clients!$B$5:$B$404,"Active")=0,"CLIENT NOT ACTIVE",IF(COUNTIF(Teams!$A$5:$A$104,D259)=0,"TEAM NOT FOUND","OK")))))</x:f>
      </x:c>
    </x:row>
    <x:row r="260">
      <x:c r="E260" s="102"/>
      <x:c r="G260" s="100" t="str">
        <x:f>IF(COUNTA(A260:F260)=0,"",IF(OR(A260="",B260="",C260="",D260=""),"COMPLETE ROW",IF(COUNTIF(Clients!$A$5:$A$404,C260)=0,"CLIENT NOT FOUND",IF(COUNTIFS(Clients!$A$5:$A$404,C260,Clients!$B$5:$B$404,"Active")=0,"CLIENT NOT ACTIVE",IF(COUNTIF(Teams!$A$5:$A$104,D260)=0,"TEAM NOT FOUND","OK")))))</x:f>
      </x:c>
    </x:row>
    <x:row r="261">
      <x:c r="E261" s="102"/>
      <x:c r="G261" s="100" t="str">
        <x:f>IF(COUNTA(A261:F261)=0,"",IF(OR(A261="",B261="",C261="",D261=""),"COMPLETE ROW",IF(COUNTIF(Clients!$A$5:$A$404,C261)=0,"CLIENT NOT FOUND",IF(COUNTIFS(Clients!$A$5:$A$404,C261,Clients!$B$5:$B$404,"Active")=0,"CLIENT NOT ACTIVE",IF(COUNTIF(Teams!$A$5:$A$104,D261)=0,"TEAM NOT FOUND","OK")))))</x:f>
      </x:c>
    </x:row>
    <x:row r="262">
      <x:c r="E262" s="102"/>
      <x:c r="G262" s="100" t="str">
        <x:f>IF(COUNTA(A262:F262)=0,"",IF(OR(A262="",B262="",C262="",D262=""),"COMPLETE ROW",IF(COUNTIF(Clients!$A$5:$A$404,C262)=0,"CLIENT NOT FOUND",IF(COUNTIFS(Clients!$A$5:$A$404,C262,Clients!$B$5:$B$404,"Active")=0,"CLIENT NOT ACTIVE",IF(COUNTIF(Teams!$A$5:$A$104,D262)=0,"TEAM NOT FOUND","OK")))))</x:f>
      </x:c>
    </x:row>
    <x:row r="263">
      <x:c r="E263" s="102"/>
      <x:c r="G263" s="100" t="str">
        <x:f>IF(COUNTA(A263:F263)=0,"",IF(OR(A263="",B263="",C263="",D263=""),"COMPLETE ROW",IF(COUNTIF(Clients!$A$5:$A$404,C263)=0,"CLIENT NOT FOUND",IF(COUNTIFS(Clients!$A$5:$A$404,C263,Clients!$B$5:$B$404,"Active")=0,"CLIENT NOT ACTIVE",IF(COUNTIF(Teams!$A$5:$A$104,D263)=0,"TEAM NOT FOUND","OK")))))</x:f>
      </x:c>
    </x:row>
    <x:row r="264">
      <x:c r="E264" s="102"/>
      <x:c r="G264" s="100" t="str">
        <x:f>IF(COUNTA(A264:F264)=0,"",IF(OR(A264="",B264="",C264="",D264=""),"COMPLETE ROW",IF(COUNTIF(Clients!$A$5:$A$404,C264)=0,"CLIENT NOT FOUND",IF(COUNTIFS(Clients!$A$5:$A$404,C264,Clients!$B$5:$B$404,"Active")=0,"CLIENT NOT ACTIVE",IF(COUNTIF(Teams!$A$5:$A$104,D264)=0,"TEAM NOT FOUND","OK")))))</x:f>
      </x:c>
    </x:row>
    <x:row r="265">
      <x:c r="E265" s="102"/>
      <x:c r="G265" s="100" t="str">
        <x:f>IF(COUNTA(A265:F265)=0,"",IF(OR(A265="",B265="",C265="",D265=""),"COMPLETE ROW",IF(COUNTIF(Clients!$A$5:$A$404,C265)=0,"CLIENT NOT FOUND",IF(COUNTIFS(Clients!$A$5:$A$404,C265,Clients!$B$5:$B$404,"Active")=0,"CLIENT NOT ACTIVE",IF(COUNTIF(Teams!$A$5:$A$104,D265)=0,"TEAM NOT FOUND","OK")))))</x:f>
      </x:c>
    </x:row>
    <x:row r="266">
      <x:c r="E266" s="102"/>
      <x:c r="G266" s="100" t="str">
        <x:f>IF(COUNTA(A266:F266)=0,"",IF(OR(A266="",B266="",C266="",D266=""),"COMPLETE ROW",IF(COUNTIF(Clients!$A$5:$A$404,C266)=0,"CLIENT NOT FOUND",IF(COUNTIFS(Clients!$A$5:$A$404,C266,Clients!$B$5:$B$404,"Active")=0,"CLIENT NOT ACTIVE",IF(COUNTIF(Teams!$A$5:$A$104,D266)=0,"TEAM NOT FOUND","OK")))))</x:f>
      </x:c>
    </x:row>
    <x:row r="267">
      <x:c r="E267" s="102"/>
      <x:c r="G267" s="100" t="str">
        <x:f>IF(COUNTA(A267:F267)=0,"",IF(OR(A267="",B267="",C267="",D267=""),"COMPLETE ROW",IF(COUNTIF(Clients!$A$5:$A$404,C267)=0,"CLIENT NOT FOUND",IF(COUNTIFS(Clients!$A$5:$A$404,C267,Clients!$B$5:$B$404,"Active")=0,"CLIENT NOT ACTIVE",IF(COUNTIF(Teams!$A$5:$A$104,D267)=0,"TEAM NOT FOUND","OK")))))</x:f>
      </x:c>
    </x:row>
    <x:row r="268">
      <x:c r="E268" s="102"/>
      <x:c r="G268" s="100" t="str">
        <x:f>IF(COUNTA(A268:F268)=0,"",IF(OR(A268="",B268="",C268="",D268=""),"COMPLETE ROW",IF(COUNTIF(Clients!$A$5:$A$404,C268)=0,"CLIENT NOT FOUND",IF(COUNTIFS(Clients!$A$5:$A$404,C268,Clients!$B$5:$B$404,"Active")=0,"CLIENT NOT ACTIVE",IF(COUNTIF(Teams!$A$5:$A$104,D268)=0,"TEAM NOT FOUND","OK")))))</x:f>
      </x:c>
    </x:row>
    <x:row r="269">
      <x:c r="E269" s="102"/>
      <x:c r="G269" s="100" t="str">
        <x:f>IF(COUNTA(A269:F269)=0,"",IF(OR(A269="",B269="",C269="",D269=""),"COMPLETE ROW",IF(COUNTIF(Clients!$A$5:$A$404,C269)=0,"CLIENT NOT FOUND",IF(COUNTIFS(Clients!$A$5:$A$404,C269,Clients!$B$5:$B$404,"Active")=0,"CLIENT NOT ACTIVE",IF(COUNTIF(Teams!$A$5:$A$104,D269)=0,"TEAM NOT FOUND","OK")))))</x:f>
      </x:c>
    </x:row>
    <x:row r="270">
      <x:c r="E270" s="102"/>
      <x:c r="G270" s="100" t="str">
        <x:f>IF(COUNTA(A270:F270)=0,"",IF(OR(A270="",B270="",C270="",D270=""),"COMPLETE ROW",IF(COUNTIF(Clients!$A$5:$A$404,C270)=0,"CLIENT NOT FOUND",IF(COUNTIFS(Clients!$A$5:$A$404,C270,Clients!$B$5:$B$404,"Active")=0,"CLIENT NOT ACTIVE",IF(COUNTIF(Teams!$A$5:$A$104,D270)=0,"TEAM NOT FOUND","OK")))))</x:f>
      </x:c>
    </x:row>
    <x:row r="271">
      <x:c r="E271" s="102"/>
      <x:c r="G271" s="100" t="str">
        <x:f>IF(COUNTA(A271:F271)=0,"",IF(OR(A271="",B271="",C271="",D271=""),"COMPLETE ROW",IF(COUNTIF(Clients!$A$5:$A$404,C271)=0,"CLIENT NOT FOUND",IF(COUNTIFS(Clients!$A$5:$A$404,C271,Clients!$B$5:$B$404,"Active")=0,"CLIENT NOT ACTIVE",IF(COUNTIF(Teams!$A$5:$A$104,D271)=0,"TEAM NOT FOUND","OK")))))</x:f>
      </x:c>
    </x:row>
    <x:row r="272">
      <x:c r="E272" s="102"/>
      <x:c r="G272" s="100" t="str">
        <x:f>IF(COUNTA(A272:F272)=0,"",IF(OR(A272="",B272="",C272="",D272=""),"COMPLETE ROW",IF(COUNTIF(Clients!$A$5:$A$404,C272)=0,"CLIENT NOT FOUND",IF(COUNTIFS(Clients!$A$5:$A$404,C272,Clients!$B$5:$B$404,"Active")=0,"CLIENT NOT ACTIVE",IF(COUNTIF(Teams!$A$5:$A$104,D272)=0,"TEAM NOT FOUND","OK")))))</x:f>
      </x:c>
    </x:row>
    <x:row r="273">
      <x:c r="E273" s="102"/>
      <x:c r="G273" s="100" t="str">
        <x:f>IF(COUNTA(A273:F273)=0,"",IF(OR(A273="",B273="",C273="",D273=""),"COMPLETE ROW",IF(COUNTIF(Clients!$A$5:$A$404,C273)=0,"CLIENT NOT FOUND",IF(COUNTIFS(Clients!$A$5:$A$404,C273,Clients!$B$5:$B$404,"Active")=0,"CLIENT NOT ACTIVE",IF(COUNTIF(Teams!$A$5:$A$104,D273)=0,"TEAM NOT FOUND","OK")))))</x:f>
      </x:c>
    </x:row>
    <x:row r="274">
      <x:c r="E274" s="102"/>
      <x:c r="G274" s="100" t="str">
        <x:f>IF(COUNTA(A274:F274)=0,"",IF(OR(A274="",B274="",C274="",D274=""),"COMPLETE ROW",IF(COUNTIF(Clients!$A$5:$A$404,C274)=0,"CLIENT NOT FOUND",IF(COUNTIFS(Clients!$A$5:$A$404,C274,Clients!$B$5:$B$404,"Active")=0,"CLIENT NOT ACTIVE",IF(COUNTIF(Teams!$A$5:$A$104,D274)=0,"TEAM NOT FOUND","OK")))))</x:f>
      </x:c>
    </x:row>
    <x:row r="275">
      <x:c r="E275" s="102"/>
      <x:c r="G275" s="100" t="str">
        <x:f>IF(COUNTA(A275:F275)=0,"",IF(OR(A275="",B275="",C275="",D275=""),"COMPLETE ROW",IF(COUNTIF(Clients!$A$5:$A$404,C275)=0,"CLIENT NOT FOUND",IF(COUNTIFS(Clients!$A$5:$A$404,C275,Clients!$B$5:$B$404,"Active")=0,"CLIENT NOT ACTIVE",IF(COUNTIF(Teams!$A$5:$A$104,D275)=0,"TEAM NOT FOUND","OK")))))</x:f>
      </x:c>
    </x:row>
    <x:row r="276">
      <x:c r="E276" s="102"/>
      <x:c r="G276" s="100" t="str">
        <x:f>IF(COUNTA(A276:F276)=0,"",IF(OR(A276="",B276="",C276="",D276=""),"COMPLETE ROW",IF(COUNTIF(Clients!$A$5:$A$404,C276)=0,"CLIENT NOT FOUND",IF(COUNTIFS(Clients!$A$5:$A$404,C276,Clients!$B$5:$B$404,"Active")=0,"CLIENT NOT ACTIVE",IF(COUNTIF(Teams!$A$5:$A$104,D276)=0,"TEAM NOT FOUND","OK")))))</x:f>
      </x:c>
    </x:row>
    <x:row r="277">
      <x:c r="E277" s="102"/>
      <x:c r="G277" s="100" t="str">
        <x:f>IF(COUNTA(A277:F277)=0,"",IF(OR(A277="",B277="",C277="",D277=""),"COMPLETE ROW",IF(COUNTIF(Clients!$A$5:$A$404,C277)=0,"CLIENT NOT FOUND",IF(COUNTIFS(Clients!$A$5:$A$404,C277,Clients!$B$5:$B$404,"Active")=0,"CLIENT NOT ACTIVE",IF(COUNTIF(Teams!$A$5:$A$104,D277)=0,"TEAM NOT FOUND","OK")))))</x:f>
      </x:c>
    </x:row>
    <x:row r="278">
      <x:c r="E278" s="102"/>
      <x:c r="G278" s="100" t="str">
        <x:f>IF(COUNTA(A278:F278)=0,"",IF(OR(A278="",B278="",C278="",D278=""),"COMPLETE ROW",IF(COUNTIF(Clients!$A$5:$A$404,C278)=0,"CLIENT NOT FOUND",IF(COUNTIFS(Clients!$A$5:$A$404,C278,Clients!$B$5:$B$404,"Active")=0,"CLIENT NOT ACTIVE",IF(COUNTIF(Teams!$A$5:$A$104,D278)=0,"TEAM NOT FOUND","OK")))))</x:f>
      </x:c>
    </x:row>
    <x:row r="279">
      <x:c r="E279" s="102"/>
      <x:c r="G279" s="100" t="str">
        <x:f>IF(COUNTA(A279:F279)=0,"",IF(OR(A279="",B279="",C279="",D279=""),"COMPLETE ROW",IF(COUNTIF(Clients!$A$5:$A$404,C279)=0,"CLIENT NOT FOUND",IF(COUNTIFS(Clients!$A$5:$A$404,C279,Clients!$B$5:$B$404,"Active")=0,"CLIENT NOT ACTIVE",IF(COUNTIF(Teams!$A$5:$A$104,D279)=0,"TEAM NOT FOUND","OK")))))</x:f>
      </x:c>
    </x:row>
    <x:row r="280">
      <x:c r="E280" s="102"/>
      <x:c r="G280" s="100" t="str">
        <x:f>IF(COUNTA(A280:F280)=0,"",IF(OR(A280="",B280="",C280="",D280=""),"COMPLETE ROW",IF(COUNTIF(Clients!$A$5:$A$404,C280)=0,"CLIENT NOT FOUND",IF(COUNTIFS(Clients!$A$5:$A$404,C280,Clients!$B$5:$B$404,"Active")=0,"CLIENT NOT ACTIVE",IF(COUNTIF(Teams!$A$5:$A$104,D280)=0,"TEAM NOT FOUND","OK")))))</x:f>
      </x:c>
    </x:row>
    <x:row r="281">
      <x:c r="E281" s="102"/>
      <x:c r="G281" s="100" t="str">
        <x:f>IF(COUNTA(A281:F281)=0,"",IF(OR(A281="",B281="",C281="",D281=""),"COMPLETE ROW",IF(COUNTIF(Clients!$A$5:$A$404,C281)=0,"CLIENT NOT FOUND",IF(COUNTIFS(Clients!$A$5:$A$404,C281,Clients!$B$5:$B$404,"Active")=0,"CLIENT NOT ACTIVE",IF(COUNTIF(Teams!$A$5:$A$104,D281)=0,"TEAM NOT FOUND","OK")))))</x:f>
      </x:c>
    </x:row>
    <x:row r="282">
      <x:c r="E282" s="102"/>
      <x:c r="G282" s="100" t="str">
        <x:f>IF(COUNTA(A282:F282)=0,"",IF(OR(A282="",B282="",C282="",D282=""),"COMPLETE ROW",IF(COUNTIF(Clients!$A$5:$A$404,C282)=0,"CLIENT NOT FOUND",IF(COUNTIFS(Clients!$A$5:$A$404,C282,Clients!$B$5:$B$404,"Active")=0,"CLIENT NOT ACTIVE",IF(COUNTIF(Teams!$A$5:$A$104,D282)=0,"TEAM NOT FOUND","OK")))))</x:f>
      </x:c>
    </x:row>
    <x:row r="283">
      <x:c r="E283" s="102"/>
      <x:c r="G283" s="100" t="str">
        <x:f>IF(COUNTA(A283:F283)=0,"",IF(OR(A283="",B283="",C283="",D283=""),"COMPLETE ROW",IF(COUNTIF(Clients!$A$5:$A$404,C283)=0,"CLIENT NOT FOUND",IF(COUNTIFS(Clients!$A$5:$A$404,C283,Clients!$B$5:$B$404,"Active")=0,"CLIENT NOT ACTIVE",IF(COUNTIF(Teams!$A$5:$A$104,D283)=0,"TEAM NOT FOUND","OK")))))</x:f>
      </x:c>
    </x:row>
    <x:row r="284">
      <x:c r="E284" s="102"/>
      <x:c r="G284" s="100" t="str">
        <x:f>IF(COUNTA(A284:F284)=0,"",IF(OR(A284="",B284="",C284="",D284=""),"COMPLETE ROW",IF(COUNTIF(Clients!$A$5:$A$404,C284)=0,"CLIENT NOT FOUND",IF(COUNTIFS(Clients!$A$5:$A$404,C284,Clients!$B$5:$B$404,"Active")=0,"CLIENT NOT ACTIVE",IF(COUNTIF(Teams!$A$5:$A$104,D284)=0,"TEAM NOT FOUND","OK")))))</x:f>
      </x:c>
    </x:row>
    <x:row r="285">
      <x:c r="E285" s="102"/>
      <x:c r="G285" s="100" t="str">
        <x:f>IF(COUNTA(A285:F285)=0,"",IF(OR(A285="",B285="",C285="",D285=""),"COMPLETE ROW",IF(COUNTIF(Clients!$A$5:$A$404,C285)=0,"CLIENT NOT FOUND",IF(COUNTIFS(Clients!$A$5:$A$404,C285,Clients!$B$5:$B$404,"Active")=0,"CLIENT NOT ACTIVE",IF(COUNTIF(Teams!$A$5:$A$104,D285)=0,"TEAM NOT FOUND","OK")))))</x:f>
      </x:c>
    </x:row>
    <x:row r="286">
      <x:c r="E286" s="102"/>
      <x:c r="G286" s="100" t="str">
        <x:f>IF(COUNTA(A286:F286)=0,"",IF(OR(A286="",B286="",C286="",D286=""),"COMPLETE ROW",IF(COUNTIF(Clients!$A$5:$A$404,C286)=0,"CLIENT NOT FOUND",IF(COUNTIFS(Clients!$A$5:$A$404,C286,Clients!$B$5:$B$404,"Active")=0,"CLIENT NOT ACTIVE",IF(COUNTIF(Teams!$A$5:$A$104,D286)=0,"TEAM NOT FOUND","OK")))))</x:f>
      </x:c>
    </x:row>
    <x:row r="287">
      <x:c r="E287" s="102"/>
      <x:c r="G287" s="100" t="str">
        <x:f>IF(COUNTA(A287:F287)=0,"",IF(OR(A287="",B287="",C287="",D287=""),"COMPLETE ROW",IF(COUNTIF(Clients!$A$5:$A$404,C287)=0,"CLIENT NOT FOUND",IF(COUNTIFS(Clients!$A$5:$A$404,C287,Clients!$B$5:$B$404,"Active")=0,"CLIENT NOT ACTIVE",IF(COUNTIF(Teams!$A$5:$A$104,D287)=0,"TEAM NOT FOUND","OK")))))</x:f>
      </x:c>
    </x:row>
    <x:row r="288">
      <x:c r="E288" s="102"/>
      <x:c r="G288" s="100" t="str">
        <x:f>IF(COUNTA(A288:F288)=0,"",IF(OR(A288="",B288="",C288="",D288=""),"COMPLETE ROW",IF(COUNTIF(Clients!$A$5:$A$404,C288)=0,"CLIENT NOT FOUND",IF(COUNTIFS(Clients!$A$5:$A$404,C288,Clients!$B$5:$B$404,"Active")=0,"CLIENT NOT ACTIVE",IF(COUNTIF(Teams!$A$5:$A$104,D288)=0,"TEAM NOT FOUND","OK")))))</x:f>
      </x:c>
    </x:row>
    <x:row r="289">
      <x:c r="E289" s="102"/>
      <x:c r="G289" s="100" t="str">
        <x:f>IF(COUNTA(A289:F289)=0,"",IF(OR(A289="",B289="",C289="",D289=""),"COMPLETE ROW",IF(COUNTIF(Clients!$A$5:$A$404,C289)=0,"CLIENT NOT FOUND",IF(COUNTIFS(Clients!$A$5:$A$404,C289,Clients!$B$5:$B$404,"Active")=0,"CLIENT NOT ACTIVE",IF(COUNTIF(Teams!$A$5:$A$104,D289)=0,"TEAM NOT FOUND","OK")))))</x:f>
      </x:c>
    </x:row>
    <x:row r="290">
      <x:c r="E290" s="102"/>
      <x:c r="G290" s="100" t="str">
        <x:f>IF(COUNTA(A290:F290)=0,"",IF(OR(A290="",B290="",C290="",D290=""),"COMPLETE ROW",IF(COUNTIF(Clients!$A$5:$A$404,C290)=0,"CLIENT NOT FOUND",IF(COUNTIFS(Clients!$A$5:$A$404,C290,Clients!$B$5:$B$404,"Active")=0,"CLIENT NOT ACTIVE",IF(COUNTIF(Teams!$A$5:$A$104,D290)=0,"TEAM NOT FOUND","OK")))))</x:f>
      </x:c>
    </x:row>
    <x:row r="291">
      <x:c r="E291" s="102"/>
      <x:c r="G291" s="100" t="str">
        <x:f>IF(COUNTA(A291:F291)=0,"",IF(OR(A291="",B291="",C291="",D291=""),"COMPLETE ROW",IF(COUNTIF(Clients!$A$5:$A$404,C291)=0,"CLIENT NOT FOUND",IF(COUNTIFS(Clients!$A$5:$A$404,C291,Clients!$B$5:$B$404,"Active")=0,"CLIENT NOT ACTIVE",IF(COUNTIF(Teams!$A$5:$A$104,D291)=0,"TEAM NOT FOUND","OK")))))</x:f>
      </x:c>
    </x:row>
    <x:row r="292">
      <x:c r="E292" s="102"/>
      <x:c r="G292" s="100" t="str">
        <x:f>IF(COUNTA(A292:F292)=0,"",IF(OR(A292="",B292="",C292="",D292=""),"COMPLETE ROW",IF(COUNTIF(Clients!$A$5:$A$404,C292)=0,"CLIENT NOT FOUND",IF(COUNTIFS(Clients!$A$5:$A$404,C292,Clients!$B$5:$B$404,"Active")=0,"CLIENT NOT ACTIVE",IF(COUNTIF(Teams!$A$5:$A$104,D292)=0,"TEAM NOT FOUND","OK")))))</x:f>
      </x:c>
    </x:row>
    <x:row r="293">
      <x:c r="E293" s="102"/>
      <x:c r="G293" s="100" t="str">
        <x:f>IF(COUNTA(A293:F293)=0,"",IF(OR(A293="",B293="",C293="",D293=""),"COMPLETE ROW",IF(COUNTIF(Clients!$A$5:$A$404,C293)=0,"CLIENT NOT FOUND",IF(COUNTIFS(Clients!$A$5:$A$404,C293,Clients!$B$5:$B$404,"Active")=0,"CLIENT NOT ACTIVE",IF(COUNTIF(Teams!$A$5:$A$104,D293)=0,"TEAM NOT FOUND","OK")))))</x:f>
      </x:c>
    </x:row>
    <x:row r="294">
      <x:c r="E294" s="102"/>
      <x:c r="G294" s="100" t="str">
        <x:f>IF(COUNTA(A294:F294)=0,"",IF(OR(A294="",B294="",C294="",D294=""),"COMPLETE ROW",IF(COUNTIF(Clients!$A$5:$A$404,C294)=0,"CLIENT NOT FOUND",IF(COUNTIFS(Clients!$A$5:$A$404,C294,Clients!$B$5:$B$404,"Active")=0,"CLIENT NOT ACTIVE",IF(COUNTIF(Teams!$A$5:$A$104,D294)=0,"TEAM NOT FOUND","OK")))))</x:f>
      </x:c>
    </x:row>
    <x:row r="295">
      <x:c r="E295" s="102"/>
      <x:c r="G295" s="100" t="str">
        <x:f>IF(COUNTA(A295:F295)=0,"",IF(OR(A295="",B295="",C295="",D295=""),"COMPLETE ROW",IF(COUNTIF(Clients!$A$5:$A$404,C295)=0,"CLIENT NOT FOUND",IF(COUNTIFS(Clients!$A$5:$A$404,C295,Clients!$B$5:$B$404,"Active")=0,"CLIENT NOT ACTIVE",IF(COUNTIF(Teams!$A$5:$A$104,D295)=0,"TEAM NOT FOUND","OK")))))</x:f>
      </x:c>
    </x:row>
    <x:row r="296">
      <x:c r="E296" s="102"/>
      <x:c r="G296" s="100" t="str">
        <x:f>IF(COUNTA(A296:F296)=0,"",IF(OR(A296="",B296="",C296="",D296=""),"COMPLETE ROW",IF(COUNTIF(Clients!$A$5:$A$404,C296)=0,"CLIENT NOT FOUND",IF(COUNTIFS(Clients!$A$5:$A$404,C296,Clients!$B$5:$B$404,"Active")=0,"CLIENT NOT ACTIVE",IF(COUNTIF(Teams!$A$5:$A$104,D296)=0,"TEAM NOT FOUND","OK")))))</x:f>
      </x:c>
    </x:row>
    <x:row r="297">
      <x:c r="E297" s="102"/>
      <x:c r="G297" s="100" t="str">
        <x:f>IF(COUNTA(A297:F297)=0,"",IF(OR(A297="",B297="",C297="",D297=""),"COMPLETE ROW",IF(COUNTIF(Clients!$A$5:$A$404,C297)=0,"CLIENT NOT FOUND",IF(COUNTIFS(Clients!$A$5:$A$404,C297,Clients!$B$5:$B$404,"Active")=0,"CLIENT NOT ACTIVE",IF(COUNTIF(Teams!$A$5:$A$104,D297)=0,"TEAM NOT FOUND","OK")))))</x:f>
      </x:c>
    </x:row>
    <x:row r="298">
      <x:c r="E298" s="102"/>
      <x:c r="G298" s="100" t="str">
        <x:f>IF(COUNTA(A298:F298)=0,"",IF(OR(A298="",B298="",C298="",D298=""),"COMPLETE ROW",IF(COUNTIF(Clients!$A$5:$A$404,C298)=0,"CLIENT NOT FOUND",IF(COUNTIFS(Clients!$A$5:$A$404,C298,Clients!$B$5:$B$404,"Active")=0,"CLIENT NOT ACTIVE",IF(COUNTIF(Teams!$A$5:$A$104,D298)=0,"TEAM NOT FOUND","OK")))))</x:f>
      </x:c>
    </x:row>
    <x:row r="299">
      <x:c r="E299" s="102"/>
      <x:c r="G299" s="100" t="str">
        <x:f>IF(COUNTA(A299:F299)=0,"",IF(OR(A299="",B299="",C299="",D299=""),"COMPLETE ROW",IF(COUNTIF(Clients!$A$5:$A$404,C299)=0,"CLIENT NOT FOUND",IF(COUNTIFS(Clients!$A$5:$A$404,C299,Clients!$B$5:$B$404,"Active")=0,"CLIENT NOT ACTIVE",IF(COUNTIF(Teams!$A$5:$A$104,D299)=0,"TEAM NOT FOUND","OK")))))</x:f>
      </x:c>
    </x:row>
    <x:row r="300">
      <x:c r="E300" s="102"/>
      <x:c r="G300" s="100" t="str">
        <x:f>IF(COUNTA(A300:F300)=0,"",IF(OR(A300="",B300="",C300="",D300=""),"COMPLETE ROW",IF(COUNTIF(Clients!$A$5:$A$404,C300)=0,"CLIENT NOT FOUND",IF(COUNTIFS(Clients!$A$5:$A$404,C300,Clients!$B$5:$B$404,"Active")=0,"CLIENT NOT ACTIVE",IF(COUNTIF(Teams!$A$5:$A$104,D300)=0,"TEAM NOT FOUND","OK")))))</x:f>
      </x:c>
    </x:row>
    <x:row r="301">
      <x:c r="E301" s="102"/>
      <x:c r="G301" s="100" t="str">
        <x:f>IF(COUNTA(A301:F301)=0,"",IF(OR(A301="",B301="",C301="",D301=""),"COMPLETE ROW",IF(COUNTIF(Clients!$A$5:$A$404,C301)=0,"CLIENT NOT FOUND",IF(COUNTIFS(Clients!$A$5:$A$404,C301,Clients!$B$5:$B$404,"Active")=0,"CLIENT NOT ACTIVE",IF(COUNTIF(Teams!$A$5:$A$104,D301)=0,"TEAM NOT FOUND","OK")))))</x:f>
      </x:c>
    </x:row>
    <x:row r="302">
      <x:c r="E302" s="102"/>
      <x:c r="G302" s="100" t="str">
        <x:f>IF(COUNTA(A302:F302)=0,"",IF(OR(A302="",B302="",C302="",D302=""),"COMPLETE ROW",IF(COUNTIF(Clients!$A$5:$A$404,C302)=0,"CLIENT NOT FOUND",IF(COUNTIFS(Clients!$A$5:$A$404,C302,Clients!$B$5:$B$404,"Active")=0,"CLIENT NOT ACTIVE",IF(COUNTIF(Teams!$A$5:$A$104,D302)=0,"TEAM NOT FOUND","OK")))))</x:f>
      </x:c>
    </x:row>
    <x:row r="303">
      <x:c r="E303" s="102"/>
      <x:c r="G303" s="100" t="str">
        <x:f>IF(COUNTA(A303:F303)=0,"",IF(OR(A303="",B303="",C303="",D303=""),"COMPLETE ROW",IF(COUNTIF(Clients!$A$5:$A$404,C303)=0,"CLIENT NOT FOUND",IF(COUNTIFS(Clients!$A$5:$A$404,C303,Clients!$B$5:$B$404,"Active")=0,"CLIENT NOT ACTIVE",IF(COUNTIF(Teams!$A$5:$A$104,D303)=0,"TEAM NOT FOUND","OK")))))</x:f>
      </x:c>
    </x:row>
    <x:row r="304">
      <x:c r="E304" s="102"/>
      <x:c r="G304" s="100" t="str">
        <x:f>IF(COUNTA(A304:F304)=0,"",IF(OR(A304="",B304="",C304="",D304=""),"COMPLETE ROW",IF(COUNTIF(Clients!$A$5:$A$404,C304)=0,"CLIENT NOT FOUND",IF(COUNTIFS(Clients!$A$5:$A$404,C304,Clients!$B$5:$B$404,"Active")=0,"CLIENT NOT ACTIVE",IF(COUNTIF(Teams!$A$5:$A$104,D304)=0,"TEAM NOT FOUND","OK")))))</x:f>
      </x:c>
    </x:row>
    <x:row r="305">
      <x:c r="E305" s="102"/>
      <x:c r="G305" s="100" t="str">
        <x:f>IF(COUNTA(A305:F305)=0,"",IF(OR(A305="",B305="",C305="",D305=""),"COMPLETE ROW",IF(COUNTIF(Clients!$A$5:$A$404,C305)=0,"CLIENT NOT FOUND",IF(COUNTIFS(Clients!$A$5:$A$404,C305,Clients!$B$5:$B$404,"Active")=0,"CLIENT NOT ACTIVE",IF(COUNTIF(Teams!$A$5:$A$104,D305)=0,"TEAM NOT FOUND","OK")))))</x:f>
      </x:c>
    </x:row>
    <x:row r="306">
      <x:c r="E306" s="102"/>
      <x:c r="G306" s="100" t="str">
        <x:f>IF(COUNTA(A306:F306)=0,"",IF(OR(A306="",B306="",C306="",D306=""),"COMPLETE ROW",IF(COUNTIF(Clients!$A$5:$A$404,C306)=0,"CLIENT NOT FOUND",IF(COUNTIFS(Clients!$A$5:$A$404,C306,Clients!$B$5:$B$404,"Active")=0,"CLIENT NOT ACTIVE",IF(COUNTIF(Teams!$A$5:$A$104,D306)=0,"TEAM NOT FOUND","OK")))))</x:f>
      </x:c>
    </x:row>
    <x:row r="307">
      <x:c r="E307" s="102"/>
      <x:c r="G307" s="100" t="str">
        <x:f>IF(COUNTA(A307:F307)=0,"",IF(OR(A307="",B307="",C307="",D307=""),"COMPLETE ROW",IF(COUNTIF(Clients!$A$5:$A$404,C307)=0,"CLIENT NOT FOUND",IF(COUNTIFS(Clients!$A$5:$A$404,C307,Clients!$B$5:$B$404,"Active")=0,"CLIENT NOT ACTIVE",IF(COUNTIF(Teams!$A$5:$A$104,D307)=0,"TEAM NOT FOUND","OK")))))</x:f>
      </x:c>
    </x:row>
    <x:row r="308">
      <x:c r="E308" s="102"/>
      <x:c r="G308" s="100" t="str">
        <x:f>IF(COUNTA(A308:F308)=0,"",IF(OR(A308="",B308="",C308="",D308=""),"COMPLETE ROW",IF(COUNTIF(Clients!$A$5:$A$404,C308)=0,"CLIENT NOT FOUND",IF(COUNTIFS(Clients!$A$5:$A$404,C308,Clients!$B$5:$B$404,"Active")=0,"CLIENT NOT ACTIVE",IF(COUNTIF(Teams!$A$5:$A$104,D308)=0,"TEAM NOT FOUND","OK")))))</x:f>
      </x:c>
    </x:row>
    <x:row r="309">
      <x:c r="E309" s="102"/>
      <x:c r="G309" s="100" t="str">
        <x:f>IF(COUNTA(A309:F309)=0,"",IF(OR(A309="",B309="",C309="",D309=""),"COMPLETE ROW",IF(COUNTIF(Clients!$A$5:$A$404,C309)=0,"CLIENT NOT FOUND",IF(COUNTIFS(Clients!$A$5:$A$404,C309,Clients!$B$5:$B$404,"Active")=0,"CLIENT NOT ACTIVE",IF(COUNTIF(Teams!$A$5:$A$104,D309)=0,"TEAM NOT FOUND","OK")))))</x:f>
      </x:c>
    </x:row>
    <x:row r="310">
      <x:c r="E310" s="102"/>
      <x:c r="G310" s="100" t="str">
        <x:f>IF(COUNTA(A310:F310)=0,"",IF(OR(A310="",B310="",C310="",D310=""),"COMPLETE ROW",IF(COUNTIF(Clients!$A$5:$A$404,C310)=0,"CLIENT NOT FOUND",IF(COUNTIFS(Clients!$A$5:$A$404,C310,Clients!$B$5:$B$404,"Active")=0,"CLIENT NOT ACTIVE",IF(COUNTIF(Teams!$A$5:$A$104,D310)=0,"TEAM NOT FOUND","OK")))))</x:f>
      </x:c>
    </x:row>
    <x:row r="311">
      <x:c r="E311" s="102"/>
      <x:c r="G311" s="100" t="str">
        <x:f>IF(COUNTA(A311:F311)=0,"",IF(OR(A311="",B311="",C311="",D311=""),"COMPLETE ROW",IF(COUNTIF(Clients!$A$5:$A$404,C311)=0,"CLIENT NOT FOUND",IF(COUNTIFS(Clients!$A$5:$A$404,C311,Clients!$B$5:$B$404,"Active")=0,"CLIENT NOT ACTIVE",IF(COUNTIF(Teams!$A$5:$A$104,D311)=0,"TEAM NOT FOUND","OK")))))</x:f>
      </x:c>
    </x:row>
    <x:row r="312">
      <x:c r="E312" s="102"/>
      <x:c r="G312" s="100" t="str">
        <x:f>IF(COUNTA(A312:F312)=0,"",IF(OR(A312="",B312="",C312="",D312=""),"COMPLETE ROW",IF(COUNTIF(Clients!$A$5:$A$404,C312)=0,"CLIENT NOT FOUND",IF(COUNTIFS(Clients!$A$5:$A$404,C312,Clients!$B$5:$B$404,"Active")=0,"CLIENT NOT ACTIVE",IF(COUNTIF(Teams!$A$5:$A$104,D312)=0,"TEAM NOT FOUND","OK")))))</x:f>
      </x:c>
    </x:row>
    <x:row r="313">
      <x:c r="E313" s="102"/>
      <x:c r="G313" s="100" t="str">
        <x:f>IF(COUNTA(A313:F313)=0,"",IF(OR(A313="",B313="",C313="",D313=""),"COMPLETE ROW",IF(COUNTIF(Clients!$A$5:$A$404,C313)=0,"CLIENT NOT FOUND",IF(COUNTIFS(Clients!$A$5:$A$404,C313,Clients!$B$5:$B$404,"Active")=0,"CLIENT NOT ACTIVE",IF(COUNTIF(Teams!$A$5:$A$104,D313)=0,"TEAM NOT FOUND","OK")))))</x:f>
      </x:c>
    </x:row>
    <x:row r="314">
      <x:c r="E314" s="102"/>
      <x:c r="G314" s="100" t="str">
        <x:f>IF(COUNTA(A314:F314)=0,"",IF(OR(A314="",B314="",C314="",D314=""),"COMPLETE ROW",IF(COUNTIF(Clients!$A$5:$A$404,C314)=0,"CLIENT NOT FOUND",IF(COUNTIFS(Clients!$A$5:$A$404,C314,Clients!$B$5:$B$404,"Active")=0,"CLIENT NOT ACTIVE",IF(COUNTIF(Teams!$A$5:$A$104,D314)=0,"TEAM NOT FOUND","OK")))))</x:f>
      </x:c>
    </x:row>
    <x:row r="315">
      <x:c r="E315" s="102"/>
      <x:c r="G315" s="100" t="str">
        <x:f>IF(COUNTA(A315:F315)=0,"",IF(OR(A315="",B315="",C315="",D315=""),"COMPLETE ROW",IF(COUNTIF(Clients!$A$5:$A$404,C315)=0,"CLIENT NOT FOUND",IF(COUNTIFS(Clients!$A$5:$A$404,C315,Clients!$B$5:$B$404,"Active")=0,"CLIENT NOT ACTIVE",IF(COUNTIF(Teams!$A$5:$A$104,D315)=0,"TEAM NOT FOUND","OK")))))</x:f>
      </x:c>
    </x:row>
    <x:row r="316">
      <x:c r="E316" s="102"/>
      <x:c r="G316" s="100" t="str">
        <x:f>IF(COUNTA(A316:F316)=0,"",IF(OR(A316="",B316="",C316="",D316=""),"COMPLETE ROW",IF(COUNTIF(Clients!$A$5:$A$404,C316)=0,"CLIENT NOT FOUND",IF(COUNTIFS(Clients!$A$5:$A$404,C316,Clients!$B$5:$B$404,"Active")=0,"CLIENT NOT ACTIVE",IF(COUNTIF(Teams!$A$5:$A$104,D316)=0,"TEAM NOT FOUND","OK")))))</x:f>
      </x:c>
    </x:row>
    <x:row r="317">
      <x:c r="E317" s="102"/>
      <x:c r="G317" s="100" t="str">
        <x:f>IF(COUNTA(A317:F317)=0,"",IF(OR(A317="",B317="",C317="",D317=""),"COMPLETE ROW",IF(COUNTIF(Clients!$A$5:$A$404,C317)=0,"CLIENT NOT FOUND",IF(COUNTIFS(Clients!$A$5:$A$404,C317,Clients!$B$5:$B$404,"Active")=0,"CLIENT NOT ACTIVE",IF(COUNTIF(Teams!$A$5:$A$104,D317)=0,"TEAM NOT FOUND","OK")))))</x:f>
      </x:c>
    </x:row>
    <x:row r="318">
      <x:c r="E318" s="102"/>
      <x:c r="G318" s="100" t="str">
        <x:f>IF(COUNTA(A318:F318)=0,"",IF(OR(A318="",B318="",C318="",D318=""),"COMPLETE ROW",IF(COUNTIF(Clients!$A$5:$A$404,C318)=0,"CLIENT NOT FOUND",IF(COUNTIFS(Clients!$A$5:$A$404,C318,Clients!$B$5:$B$404,"Active")=0,"CLIENT NOT ACTIVE",IF(COUNTIF(Teams!$A$5:$A$104,D318)=0,"TEAM NOT FOUND","OK")))))</x:f>
      </x:c>
    </x:row>
    <x:row r="319">
      <x:c r="E319" s="102"/>
      <x:c r="G319" s="100" t="str">
        <x:f>IF(COUNTA(A319:F319)=0,"",IF(OR(A319="",B319="",C319="",D319=""),"COMPLETE ROW",IF(COUNTIF(Clients!$A$5:$A$404,C319)=0,"CLIENT NOT FOUND",IF(COUNTIFS(Clients!$A$5:$A$404,C319,Clients!$B$5:$B$404,"Active")=0,"CLIENT NOT ACTIVE",IF(COUNTIF(Teams!$A$5:$A$104,D319)=0,"TEAM NOT FOUND","OK")))))</x:f>
      </x:c>
    </x:row>
    <x:row r="320">
      <x:c r="E320" s="102"/>
      <x:c r="G320" s="100" t="str">
        <x:f>IF(COUNTA(A320:F320)=0,"",IF(OR(A320="",B320="",C320="",D320=""),"COMPLETE ROW",IF(COUNTIF(Clients!$A$5:$A$404,C320)=0,"CLIENT NOT FOUND",IF(COUNTIFS(Clients!$A$5:$A$404,C320,Clients!$B$5:$B$404,"Active")=0,"CLIENT NOT ACTIVE",IF(COUNTIF(Teams!$A$5:$A$104,D320)=0,"TEAM NOT FOUND","OK")))))</x:f>
      </x:c>
    </x:row>
    <x:row r="321">
      <x:c r="E321" s="102"/>
      <x:c r="G321" s="100" t="str">
        <x:f>IF(COUNTA(A321:F321)=0,"",IF(OR(A321="",B321="",C321="",D321=""),"COMPLETE ROW",IF(COUNTIF(Clients!$A$5:$A$404,C321)=0,"CLIENT NOT FOUND",IF(COUNTIFS(Clients!$A$5:$A$404,C321,Clients!$B$5:$B$404,"Active")=0,"CLIENT NOT ACTIVE",IF(COUNTIF(Teams!$A$5:$A$104,D321)=0,"TEAM NOT FOUND","OK")))))</x:f>
      </x:c>
    </x:row>
    <x:row r="322">
      <x:c r="E322" s="102"/>
      <x:c r="G322" s="100" t="str">
        <x:f>IF(COUNTA(A322:F322)=0,"",IF(OR(A322="",B322="",C322="",D322=""),"COMPLETE ROW",IF(COUNTIF(Clients!$A$5:$A$404,C322)=0,"CLIENT NOT FOUND",IF(COUNTIFS(Clients!$A$5:$A$404,C322,Clients!$B$5:$B$404,"Active")=0,"CLIENT NOT ACTIVE",IF(COUNTIF(Teams!$A$5:$A$104,D322)=0,"TEAM NOT FOUND","OK")))))</x:f>
      </x:c>
    </x:row>
    <x:row r="323">
      <x:c r="E323" s="102"/>
      <x:c r="G323" s="100" t="str">
        <x:f>IF(COUNTA(A323:F323)=0,"",IF(OR(A323="",B323="",C323="",D323=""),"COMPLETE ROW",IF(COUNTIF(Clients!$A$5:$A$404,C323)=0,"CLIENT NOT FOUND",IF(COUNTIFS(Clients!$A$5:$A$404,C323,Clients!$B$5:$B$404,"Active")=0,"CLIENT NOT ACTIVE",IF(COUNTIF(Teams!$A$5:$A$104,D323)=0,"TEAM NOT FOUND","OK")))))</x:f>
      </x:c>
    </x:row>
    <x:row r="324">
      <x:c r="E324" s="102"/>
      <x:c r="G324" s="100" t="str">
        <x:f>IF(COUNTA(A324:F324)=0,"",IF(OR(A324="",B324="",C324="",D324=""),"COMPLETE ROW",IF(COUNTIF(Clients!$A$5:$A$404,C324)=0,"CLIENT NOT FOUND",IF(COUNTIFS(Clients!$A$5:$A$404,C324,Clients!$B$5:$B$404,"Active")=0,"CLIENT NOT ACTIVE",IF(COUNTIF(Teams!$A$5:$A$104,D324)=0,"TEAM NOT FOUND","OK")))))</x:f>
      </x:c>
    </x:row>
    <x:row r="325">
      <x:c r="E325" s="102"/>
      <x:c r="G325" s="100" t="str">
        <x:f>IF(COUNTA(A325:F325)=0,"",IF(OR(A325="",B325="",C325="",D325=""),"COMPLETE ROW",IF(COUNTIF(Clients!$A$5:$A$404,C325)=0,"CLIENT NOT FOUND",IF(COUNTIFS(Clients!$A$5:$A$404,C325,Clients!$B$5:$B$404,"Active")=0,"CLIENT NOT ACTIVE",IF(COUNTIF(Teams!$A$5:$A$104,D325)=0,"TEAM NOT FOUND","OK")))))</x:f>
      </x:c>
    </x:row>
    <x:row r="326">
      <x:c r="E326" s="102"/>
      <x:c r="G326" s="100" t="str">
        <x:f>IF(COUNTA(A326:F326)=0,"",IF(OR(A326="",B326="",C326="",D326=""),"COMPLETE ROW",IF(COUNTIF(Clients!$A$5:$A$404,C326)=0,"CLIENT NOT FOUND",IF(COUNTIFS(Clients!$A$5:$A$404,C326,Clients!$B$5:$B$404,"Active")=0,"CLIENT NOT ACTIVE",IF(COUNTIF(Teams!$A$5:$A$104,D326)=0,"TEAM NOT FOUND","OK")))))</x:f>
      </x:c>
    </x:row>
    <x:row r="327">
      <x:c r="E327" s="102"/>
      <x:c r="G327" s="100" t="str">
        <x:f>IF(COUNTA(A327:F327)=0,"",IF(OR(A327="",B327="",C327="",D327=""),"COMPLETE ROW",IF(COUNTIF(Clients!$A$5:$A$404,C327)=0,"CLIENT NOT FOUND",IF(COUNTIFS(Clients!$A$5:$A$404,C327,Clients!$B$5:$B$404,"Active")=0,"CLIENT NOT ACTIVE",IF(COUNTIF(Teams!$A$5:$A$104,D327)=0,"TEAM NOT FOUND","OK")))))</x:f>
      </x:c>
    </x:row>
    <x:row r="328">
      <x:c r="E328" s="102"/>
      <x:c r="G328" s="100" t="str">
        <x:f>IF(COUNTA(A328:F328)=0,"",IF(OR(A328="",B328="",C328="",D328=""),"COMPLETE ROW",IF(COUNTIF(Clients!$A$5:$A$404,C328)=0,"CLIENT NOT FOUND",IF(COUNTIFS(Clients!$A$5:$A$404,C328,Clients!$B$5:$B$404,"Active")=0,"CLIENT NOT ACTIVE",IF(COUNTIF(Teams!$A$5:$A$104,D328)=0,"TEAM NOT FOUND","OK")))))</x:f>
      </x:c>
    </x:row>
    <x:row r="329">
      <x:c r="E329" s="102"/>
      <x:c r="G329" s="100" t="str">
        <x:f>IF(COUNTA(A329:F329)=0,"",IF(OR(A329="",B329="",C329="",D329=""),"COMPLETE ROW",IF(COUNTIF(Clients!$A$5:$A$404,C329)=0,"CLIENT NOT FOUND",IF(COUNTIFS(Clients!$A$5:$A$404,C329,Clients!$B$5:$B$404,"Active")=0,"CLIENT NOT ACTIVE",IF(COUNTIF(Teams!$A$5:$A$104,D329)=0,"TEAM NOT FOUND","OK")))))</x:f>
      </x:c>
    </x:row>
    <x:row r="330">
      <x:c r="E330" s="102"/>
      <x:c r="G330" s="100" t="str">
        <x:f>IF(COUNTA(A330:F330)=0,"",IF(OR(A330="",B330="",C330="",D330=""),"COMPLETE ROW",IF(COUNTIF(Clients!$A$5:$A$404,C330)=0,"CLIENT NOT FOUND",IF(COUNTIFS(Clients!$A$5:$A$404,C330,Clients!$B$5:$B$404,"Active")=0,"CLIENT NOT ACTIVE",IF(COUNTIF(Teams!$A$5:$A$104,D330)=0,"TEAM NOT FOUND","OK")))))</x:f>
      </x:c>
    </x:row>
    <x:row r="331">
      <x:c r="E331" s="102"/>
      <x:c r="G331" s="100" t="str">
        <x:f>IF(COUNTA(A331:F331)=0,"",IF(OR(A331="",B331="",C331="",D331=""),"COMPLETE ROW",IF(COUNTIF(Clients!$A$5:$A$404,C331)=0,"CLIENT NOT FOUND",IF(COUNTIFS(Clients!$A$5:$A$404,C331,Clients!$B$5:$B$404,"Active")=0,"CLIENT NOT ACTIVE",IF(COUNTIF(Teams!$A$5:$A$104,D331)=0,"TEAM NOT FOUND","OK")))))</x:f>
      </x:c>
    </x:row>
    <x:row r="332">
      <x:c r="E332" s="102"/>
      <x:c r="G332" s="100" t="str">
        <x:f>IF(COUNTA(A332:F332)=0,"",IF(OR(A332="",B332="",C332="",D332=""),"COMPLETE ROW",IF(COUNTIF(Clients!$A$5:$A$404,C332)=0,"CLIENT NOT FOUND",IF(COUNTIFS(Clients!$A$5:$A$404,C332,Clients!$B$5:$B$404,"Active")=0,"CLIENT NOT ACTIVE",IF(COUNTIF(Teams!$A$5:$A$104,D332)=0,"TEAM NOT FOUND","OK")))))</x:f>
      </x:c>
    </x:row>
    <x:row r="333">
      <x:c r="E333" s="102"/>
      <x:c r="G333" s="100" t="str">
        <x:f>IF(COUNTA(A333:F333)=0,"",IF(OR(A333="",B333="",C333="",D333=""),"COMPLETE ROW",IF(COUNTIF(Clients!$A$5:$A$404,C333)=0,"CLIENT NOT FOUND",IF(COUNTIFS(Clients!$A$5:$A$404,C333,Clients!$B$5:$B$404,"Active")=0,"CLIENT NOT ACTIVE",IF(COUNTIF(Teams!$A$5:$A$104,D333)=0,"TEAM NOT FOUND","OK")))))</x:f>
      </x:c>
    </x:row>
    <x:row r="334">
      <x:c r="E334" s="102"/>
      <x:c r="G334" s="100" t="str">
        <x:f>IF(COUNTA(A334:F334)=0,"",IF(OR(A334="",B334="",C334="",D334=""),"COMPLETE ROW",IF(COUNTIF(Clients!$A$5:$A$404,C334)=0,"CLIENT NOT FOUND",IF(COUNTIFS(Clients!$A$5:$A$404,C334,Clients!$B$5:$B$404,"Active")=0,"CLIENT NOT ACTIVE",IF(COUNTIF(Teams!$A$5:$A$104,D334)=0,"TEAM NOT FOUND","OK")))))</x:f>
      </x:c>
    </x:row>
    <x:row r="335">
      <x:c r="E335" s="102"/>
      <x:c r="G335" s="100" t="str">
        <x:f>IF(COUNTA(A335:F335)=0,"",IF(OR(A335="",B335="",C335="",D335=""),"COMPLETE ROW",IF(COUNTIF(Clients!$A$5:$A$404,C335)=0,"CLIENT NOT FOUND",IF(COUNTIFS(Clients!$A$5:$A$404,C335,Clients!$B$5:$B$404,"Active")=0,"CLIENT NOT ACTIVE",IF(COUNTIF(Teams!$A$5:$A$104,D335)=0,"TEAM NOT FOUND","OK")))))</x:f>
      </x:c>
    </x:row>
    <x:row r="336">
      <x:c r="E336" s="102"/>
      <x:c r="G336" s="100" t="str">
        <x:f>IF(COUNTA(A336:F336)=0,"",IF(OR(A336="",B336="",C336="",D336=""),"COMPLETE ROW",IF(COUNTIF(Clients!$A$5:$A$404,C336)=0,"CLIENT NOT FOUND",IF(COUNTIFS(Clients!$A$5:$A$404,C336,Clients!$B$5:$B$404,"Active")=0,"CLIENT NOT ACTIVE",IF(COUNTIF(Teams!$A$5:$A$104,D336)=0,"TEAM NOT FOUND","OK")))))</x:f>
      </x:c>
    </x:row>
    <x:row r="337">
      <x:c r="E337" s="102"/>
      <x:c r="G337" s="100" t="str">
        <x:f>IF(COUNTA(A337:F337)=0,"",IF(OR(A337="",B337="",C337="",D337=""),"COMPLETE ROW",IF(COUNTIF(Clients!$A$5:$A$404,C337)=0,"CLIENT NOT FOUND",IF(COUNTIFS(Clients!$A$5:$A$404,C337,Clients!$B$5:$B$404,"Active")=0,"CLIENT NOT ACTIVE",IF(COUNTIF(Teams!$A$5:$A$104,D337)=0,"TEAM NOT FOUND","OK")))))</x:f>
      </x:c>
    </x:row>
    <x:row r="338">
      <x:c r="E338" s="102"/>
      <x:c r="G338" s="100" t="str">
        <x:f>IF(COUNTA(A338:F338)=0,"",IF(OR(A338="",B338="",C338="",D338=""),"COMPLETE ROW",IF(COUNTIF(Clients!$A$5:$A$404,C338)=0,"CLIENT NOT FOUND",IF(COUNTIFS(Clients!$A$5:$A$404,C338,Clients!$B$5:$B$404,"Active")=0,"CLIENT NOT ACTIVE",IF(COUNTIF(Teams!$A$5:$A$104,D338)=0,"TEAM NOT FOUND","OK")))))</x:f>
      </x:c>
    </x:row>
    <x:row r="339">
      <x:c r="E339" s="102"/>
      <x:c r="G339" s="100" t="str">
        <x:f>IF(COUNTA(A339:F339)=0,"",IF(OR(A339="",B339="",C339="",D339=""),"COMPLETE ROW",IF(COUNTIF(Clients!$A$5:$A$404,C339)=0,"CLIENT NOT FOUND",IF(COUNTIFS(Clients!$A$5:$A$404,C339,Clients!$B$5:$B$404,"Active")=0,"CLIENT NOT ACTIVE",IF(COUNTIF(Teams!$A$5:$A$104,D339)=0,"TEAM NOT FOUND","OK")))))</x:f>
      </x:c>
    </x:row>
    <x:row r="340">
      <x:c r="E340" s="102"/>
      <x:c r="G340" s="100" t="str">
        <x:f>IF(COUNTA(A340:F340)=0,"",IF(OR(A340="",B340="",C340="",D340=""),"COMPLETE ROW",IF(COUNTIF(Clients!$A$5:$A$404,C340)=0,"CLIENT NOT FOUND",IF(COUNTIFS(Clients!$A$5:$A$404,C340,Clients!$B$5:$B$404,"Active")=0,"CLIENT NOT ACTIVE",IF(COUNTIF(Teams!$A$5:$A$104,D340)=0,"TEAM NOT FOUND","OK")))))</x:f>
      </x:c>
    </x:row>
    <x:row r="341">
      <x:c r="E341" s="102"/>
      <x:c r="G341" s="100" t="str">
        <x:f>IF(COUNTA(A341:F341)=0,"",IF(OR(A341="",B341="",C341="",D341=""),"COMPLETE ROW",IF(COUNTIF(Clients!$A$5:$A$404,C341)=0,"CLIENT NOT FOUND",IF(COUNTIFS(Clients!$A$5:$A$404,C341,Clients!$B$5:$B$404,"Active")=0,"CLIENT NOT ACTIVE",IF(COUNTIF(Teams!$A$5:$A$104,D341)=0,"TEAM NOT FOUND","OK")))))</x:f>
      </x:c>
    </x:row>
    <x:row r="342">
      <x:c r="E342" s="102"/>
      <x:c r="G342" s="100" t="str">
        <x:f>IF(COUNTA(A342:F342)=0,"",IF(OR(A342="",B342="",C342="",D342=""),"COMPLETE ROW",IF(COUNTIF(Clients!$A$5:$A$404,C342)=0,"CLIENT NOT FOUND",IF(COUNTIFS(Clients!$A$5:$A$404,C342,Clients!$B$5:$B$404,"Active")=0,"CLIENT NOT ACTIVE",IF(COUNTIF(Teams!$A$5:$A$104,D342)=0,"TEAM NOT FOUND","OK")))))</x:f>
      </x:c>
    </x:row>
    <x:row r="343">
      <x:c r="E343" s="102"/>
      <x:c r="G343" s="100" t="str">
        <x:f>IF(COUNTA(A343:F343)=0,"",IF(OR(A343="",B343="",C343="",D343=""),"COMPLETE ROW",IF(COUNTIF(Clients!$A$5:$A$404,C343)=0,"CLIENT NOT FOUND",IF(COUNTIFS(Clients!$A$5:$A$404,C343,Clients!$B$5:$B$404,"Active")=0,"CLIENT NOT ACTIVE",IF(COUNTIF(Teams!$A$5:$A$104,D343)=0,"TEAM NOT FOUND","OK")))))</x:f>
      </x:c>
    </x:row>
    <x:row r="344">
      <x:c r="E344" s="102"/>
      <x:c r="G344" s="100" t="str">
        <x:f>IF(COUNTA(A344:F344)=0,"",IF(OR(A344="",B344="",C344="",D344=""),"COMPLETE ROW",IF(COUNTIF(Clients!$A$5:$A$404,C344)=0,"CLIENT NOT FOUND",IF(COUNTIFS(Clients!$A$5:$A$404,C344,Clients!$B$5:$B$404,"Active")=0,"CLIENT NOT ACTIVE",IF(COUNTIF(Teams!$A$5:$A$104,D344)=0,"TEAM NOT FOUND","OK")))))</x:f>
      </x:c>
    </x:row>
    <x:row r="345">
      <x:c r="E345" s="102"/>
      <x:c r="G345" s="100" t="str">
        <x:f>IF(COUNTA(A345:F345)=0,"",IF(OR(A345="",B345="",C345="",D345=""),"COMPLETE ROW",IF(COUNTIF(Clients!$A$5:$A$404,C345)=0,"CLIENT NOT FOUND",IF(COUNTIFS(Clients!$A$5:$A$404,C345,Clients!$B$5:$B$404,"Active")=0,"CLIENT NOT ACTIVE",IF(COUNTIF(Teams!$A$5:$A$104,D345)=0,"TEAM NOT FOUND","OK")))))</x:f>
      </x:c>
    </x:row>
    <x:row r="346">
      <x:c r="E346" s="102"/>
      <x:c r="G346" s="100" t="str">
        <x:f>IF(COUNTA(A346:F346)=0,"",IF(OR(A346="",B346="",C346="",D346=""),"COMPLETE ROW",IF(COUNTIF(Clients!$A$5:$A$404,C346)=0,"CLIENT NOT FOUND",IF(COUNTIFS(Clients!$A$5:$A$404,C346,Clients!$B$5:$B$404,"Active")=0,"CLIENT NOT ACTIVE",IF(COUNTIF(Teams!$A$5:$A$104,D346)=0,"TEAM NOT FOUND","OK")))))</x:f>
      </x:c>
    </x:row>
    <x:row r="347">
      <x:c r="E347" s="102"/>
      <x:c r="G347" s="100" t="str">
        <x:f>IF(COUNTA(A347:F347)=0,"",IF(OR(A347="",B347="",C347="",D347=""),"COMPLETE ROW",IF(COUNTIF(Clients!$A$5:$A$404,C347)=0,"CLIENT NOT FOUND",IF(COUNTIFS(Clients!$A$5:$A$404,C347,Clients!$B$5:$B$404,"Active")=0,"CLIENT NOT ACTIVE",IF(COUNTIF(Teams!$A$5:$A$104,D347)=0,"TEAM NOT FOUND","OK")))))</x:f>
      </x:c>
    </x:row>
    <x:row r="348">
      <x:c r="E348" s="102"/>
      <x:c r="G348" s="100" t="str">
        <x:f>IF(COUNTA(A348:F348)=0,"",IF(OR(A348="",B348="",C348="",D348=""),"COMPLETE ROW",IF(COUNTIF(Clients!$A$5:$A$404,C348)=0,"CLIENT NOT FOUND",IF(COUNTIFS(Clients!$A$5:$A$404,C348,Clients!$B$5:$B$404,"Active")=0,"CLIENT NOT ACTIVE",IF(COUNTIF(Teams!$A$5:$A$104,D348)=0,"TEAM NOT FOUND","OK")))))</x:f>
      </x:c>
    </x:row>
    <x:row r="349">
      <x:c r="E349" s="102"/>
      <x:c r="G349" s="100" t="str">
        <x:f>IF(COUNTA(A349:F349)=0,"",IF(OR(A349="",B349="",C349="",D349=""),"COMPLETE ROW",IF(COUNTIF(Clients!$A$5:$A$404,C349)=0,"CLIENT NOT FOUND",IF(COUNTIFS(Clients!$A$5:$A$404,C349,Clients!$B$5:$B$404,"Active")=0,"CLIENT NOT ACTIVE",IF(COUNTIF(Teams!$A$5:$A$104,D349)=0,"TEAM NOT FOUND","OK")))))</x:f>
      </x:c>
    </x:row>
    <x:row r="350">
      <x:c r="E350" s="102"/>
      <x:c r="G350" s="100" t="str">
        <x:f>IF(COUNTA(A350:F350)=0,"",IF(OR(A350="",B350="",C350="",D350=""),"COMPLETE ROW",IF(COUNTIF(Clients!$A$5:$A$404,C350)=0,"CLIENT NOT FOUND",IF(COUNTIFS(Clients!$A$5:$A$404,C350,Clients!$B$5:$B$404,"Active")=0,"CLIENT NOT ACTIVE",IF(COUNTIF(Teams!$A$5:$A$104,D350)=0,"TEAM NOT FOUND","OK")))))</x:f>
      </x:c>
    </x:row>
    <x:row r="351">
      <x:c r="E351" s="102"/>
      <x:c r="G351" s="100" t="str">
        <x:f>IF(COUNTA(A351:F351)=0,"",IF(OR(A351="",B351="",C351="",D351=""),"COMPLETE ROW",IF(COUNTIF(Clients!$A$5:$A$404,C351)=0,"CLIENT NOT FOUND",IF(COUNTIFS(Clients!$A$5:$A$404,C351,Clients!$B$5:$B$404,"Active")=0,"CLIENT NOT ACTIVE",IF(COUNTIF(Teams!$A$5:$A$104,D351)=0,"TEAM NOT FOUND","OK")))))</x:f>
      </x:c>
    </x:row>
    <x:row r="352">
      <x:c r="E352" s="102"/>
      <x:c r="G352" s="100" t="str">
        <x:f>IF(COUNTA(A352:F352)=0,"",IF(OR(A352="",B352="",C352="",D352=""),"COMPLETE ROW",IF(COUNTIF(Clients!$A$5:$A$404,C352)=0,"CLIENT NOT FOUND",IF(COUNTIFS(Clients!$A$5:$A$404,C352,Clients!$B$5:$B$404,"Active")=0,"CLIENT NOT ACTIVE",IF(COUNTIF(Teams!$A$5:$A$104,D352)=0,"TEAM NOT FOUND","OK")))))</x:f>
      </x:c>
    </x:row>
    <x:row r="353">
      <x:c r="E353" s="102"/>
      <x:c r="G353" s="100" t="str">
        <x:f>IF(COUNTA(A353:F353)=0,"",IF(OR(A353="",B353="",C353="",D353=""),"COMPLETE ROW",IF(COUNTIF(Clients!$A$5:$A$404,C353)=0,"CLIENT NOT FOUND",IF(COUNTIFS(Clients!$A$5:$A$404,C353,Clients!$B$5:$B$404,"Active")=0,"CLIENT NOT ACTIVE",IF(COUNTIF(Teams!$A$5:$A$104,D353)=0,"TEAM NOT FOUND","OK")))))</x:f>
      </x:c>
    </x:row>
    <x:row r="354">
      <x:c r="E354" s="102"/>
      <x:c r="G354" s="100" t="str">
        <x:f>IF(COUNTA(A354:F354)=0,"",IF(OR(A354="",B354="",C354="",D354=""),"COMPLETE ROW",IF(COUNTIF(Clients!$A$5:$A$404,C354)=0,"CLIENT NOT FOUND",IF(COUNTIFS(Clients!$A$5:$A$404,C354,Clients!$B$5:$B$404,"Active")=0,"CLIENT NOT ACTIVE",IF(COUNTIF(Teams!$A$5:$A$104,D354)=0,"TEAM NOT FOUND","OK")))))</x:f>
      </x:c>
    </x:row>
    <x:row r="355">
      <x:c r="E355" s="102"/>
      <x:c r="G355" s="100" t="str">
        <x:f>IF(COUNTA(A355:F355)=0,"",IF(OR(A355="",B355="",C355="",D355=""),"COMPLETE ROW",IF(COUNTIF(Clients!$A$5:$A$404,C355)=0,"CLIENT NOT FOUND",IF(COUNTIFS(Clients!$A$5:$A$404,C355,Clients!$B$5:$B$404,"Active")=0,"CLIENT NOT ACTIVE",IF(COUNTIF(Teams!$A$5:$A$104,D355)=0,"TEAM NOT FOUND","OK")))))</x:f>
      </x:c>
    </x:row>
    <x:row r="356">
      <x:c r="E356" s="102"/>
      <x:c r="G356" s="100" t="str">
        <x:f>IF(COUNTA(A356:F356)=0,"",IF(OR(A356="",B356="",C356="",D356=""),"COMPLETE ROW",IF(COUNTIF(Clients!$A$5:$A$404,C356)=0,"CLIENT NOT FOUND",IF(COUNTIFS(Clients!$A$5:$A$404,C356,Clients!$B$5:$B$404,"Active")=0,"CLIENT NOT ACTIVE",IF(COUNTIF(Teams!$A$5:$A$104,D356)=0,"TEAM NOT FOUND","OK")))))</x:f>
      </x:c>
    </x:row>
    <x:row r="357">
      <x:c r="E357" s="102"/>
      <x:c r="G357" s="100" t="str">
        <x:f>IF(COUNTA(A357:F357)=0,"",IF(OR(A357="",B357="",C357="",D357=""),"COMPLETE ROW",IF(COUNTIF(Clients!$A$5:$A$404,C357)=0,"CLIENT NOT FOUND",IF(COUNTIFS(Clients!$A$5:$A$404,C357,Clients!$B$5:$B$404,"Active")=0,"CLIENT NOT ACTIVE",IF(COUNTIF(Teams!$A$5:$A$104,D357)=0,"TEAM NOT FOUND","OK")))))</x:f>
      </x:c>
    </x:row>
    <x:row r="358">
      <x:c r="E358" s="102"/>
      <x:c r="G358" s="100" t="str">
        <x:f>IF(COUNTA(A358:F358)=0,"",IF(OR(A358="",B358="",C358="",D358=""),"COMPLETE ROW",IF(COUNTIF(Clients!$A$5:$A$404,C358)=0,"CLIENT NOT FOUND",IF(COUNTIFS(Clients!$A$5:$A$404,C358,Clients!$B$5:$B$404,"Active")=0,"CLIENT NOT ACTIVE",IF(COUNTIF(Teams!$A$5:$A$104,D358)=0,"TEAM NOT FOUND","OK")))))</x:f>
      </x:c>
    </x:row>
    <x:row r="359">
      <x:c r="E359" s="102"/>
      <x:c r="G359" s="100" t="str">
        <x:f>IF(COUNTA(A359:F359)=0,"",IF(OR(A359="",B359="",C359="",D359=""),"COMPLETE ROW",IF(COUNTIF(Clients!$A$5:$A$404,C359)=0,"CLIENT NOT FOUND",IF(COUNTIFS(Clients!$A$5:$A$404,C359,Clients!$B$5:$B$404,"Active")=0,"CLIENT NOT ACTIVE",IF(COUNTIF(Teams!$A$5:$A$104,D359)=0,"TEAM NOT FOUND","OK")))))</x:f>
      </x:c>
    </x:row>
    <x:row r="360">
      <x:c r="E360" s="102"/>
      <x:c r="G360" s="100" t="str">
        <x:f>IF(COUNTA(A360:F360)=0,"",IF(OR(A360="",B360="",C360="",D360=""),"COMPLETE ROW",IF(COUNTIF(Clients!$A$5:$A$404,C360)=0,"CLIENT NOT FOUND",IF(COUNTIFS(Clients!$A$5:$A$404,C360,Clients!$B$5:$B$404,"Active")=0,"CLIENT NOT ACTIVE",IF(COUNTIF(Teams!$A$5:$A$104,D360)=0,"TEAM NOT FOUND","OK")))))</x:f>
      </x:c>
    </x:row>
    <x:row r="361">
      <x:c r="E361" s="102"/>
      <x:c r="G361" s="100" t="str">
        <x:f>IF(COUNTA(A361:F361)=0,"",IF(OR(A361="",B361="",C361="",D361=""),"COMPLETE ROW",IF(COUNTIF(Clients!$A$5:$A$404,C361)=0,"CLIENT NOT FOUND",IF(COUNTIFS(Clients!$A$5:$A$404,C361,Clients!$B$5:$B$404,"Active")=0,"CLIENT NOT ACTIVE",IF(COUNTIF(Teams!$A$5:$A$104,D361)=0,"TEAM NOT FOUND","OK")))))</x:f>
      </x:c>
    </x:row>
    <x:row r="362">
      <x:c r="E362" s="102"/>
      <x:c r="G362" s="100" t="str">
        <x:f>IF(COUNTA(A362:F362)=0,"",IF(OR(A362="",B362="",C362="",D362=""),"COMPLETE ROW",IF(COUNTIF(Clients!$A$5:$A$404,C362)=0,"CLIENT NOT FOUND",IF(COUNTIFS(Clients!$A$5:$A$404,C362,Clients!$B$5:$B$404,"Active")=0,"CLIENT NOT ACTIVE",IF(COUNTIF(Teams!$A$5:$A$104,D362)=0,"TEAM NOT FOUND","OK")))))</x:f>
      </x:c>
    </x:row>
    <x:row r="363">
      <x:c r="E363" s="102"/>
      <x:c r="G363" s="100" t="str">
        <x:f>IF(COUNTA(A363:F363)=0,"",IF(OR(A363="",B363="",C363="",D363=""),"COMPLETE ROW",IF(COUNTIF(Clients!$A$5:$A$404,C363)=0,"CLIENT NOT FOUND",IF(COUNTIFS(Clients!$A$5:$A$404,C363,Clients!$B$5:$B$404,"Active")=0,"CLIENT NOT ACTIVE",IF(COUNTIF(Teams!$A$5:$A$104,D363)=0,"TEAM NOT FOUND","OK")))))</x:f>
      </x:c>
    </x:row>
    <x:row r="364">
      <x:c r="E364" s="102"/>
      <x:c r="G364" s="100" t="str">
        <x:f>IF(COUNTA(A364:F364)=0,"",IF(OR(A364="",B364="",C364="",D364=""),"COMPLETE ROW",IF(COUNTIF(Clients!$A$5:$A$404,C364)=0,"CLIENT NOT FOUND",IF(COUNTIFS(Clients!$A$5:$A$404,C364,Clients!$B$5:$B$404,"Active")=0,"CLIENT NOT ACTIVE",IF(COUNTIF(Teams!$A$5:$A$104,D364)=0,"TEAM NOT FOUND","OK")))))</x:f>
      </x:c>
    </x:row>
    <x:row r="365">
      <x:c r="E365" s="102"/>
      <x:c r="G365" s="100" t="str">
        <x:f>IF(COUNTA(A365:F365)=0,"",IF(OR(A365="",B365="",C365="",D365=""),"COMPLETE ROW",IF(COUNTIF(Clients!$A$5:$A$404,C365)=0,"CLIENT NOT FOUND",IF(COUNTIFS(Clients!$A$5:$A$404,C365,Clients!$B$5:$B$404,"Active")=0,"CLIENT NOT ACTIVE",IF(COUNTIF(Teams!$A$5:$A$104,D365)=0,"TEAM NOT FOUND","OK")))))</x:f>
      </x:c>
    </x:row>
    <x:row r="366">
      <x:c r="E366" s="102"/>
      <x:c r="G366" s="100" t="str">
        <x:f>IF(COUNTA(A366:F366)=0,"",IF(OR(A366="",B366="",C366="",D366=""),"COMPLETE ROW",IF(COUNTIF(Clients!$A$5:$A$404,C366)=0,"CLIENT NOT FOUND",IF(COUNTIFS(Clients!$A$5:$A$404,C366,Clients!$B$5:$B$404,"Active")=0,"CLIENT NOT ACTIVE",IF(COUNTIF(Teams!$A$5:$A$104,D366)=0,"TEAM NOT FOUND","OK")))))</x:f>
      </x:c>
    </x:row>
    <x:row r="367">
      <x:c r="E367" s="102"/>
      <x:c r="G367" s="100" t="str">
        <x:f>IF(COUNTA(A367:F367)=0,"",IF(OR(A367="",B367="",C367="",D367=""),"COMPLETE ROW",IF(COUNTIF(Clients!$A$5:$A$404,C367)=0,"CLIENT NOT FOUND",IF(COUNTIFS(Clients!$A$5:$A$404,C367,Clients!$B$5:$B$404,"Active")=0,"CLIENT NOT ACTIVE",IF(COUNTIF(Teams!$A$5:$A$104,D367)=0,"TEAM NOT FOUND","OK")))))</x:f>
      </x:c>
    </x:row>
    <x:row r="368">
      <x:c r="E368" s="102"/>
      <x:c r="G368" s="100" t="str">
        <x:f>IF(COUNTA(A368:F368)=0,"",IF(OR(A368="",B368="",C368="",D368=""),"COMPLETE ROW",IF(COUNTIF(Clients!$A$5:$A$404,C368)=0,"CLIENT NOT FOUND",IF(COUNTIFS(Clients!$A$5:$A$404,C368,Clients!$B$5:$B$404,"Active")=0,"CLIENT NOT ACTIVE",IF(COUNTIF(Teams!$A$5:$A$104,D368)=0,"TEAM NOT FOUND","OK")))))</x:f>
      </x:c>
    </x:row>
    <x:row r="369">
      <x:c r="E369" s="102"/>
      <x:c r="G369" s="100" t="str">
        <x:f>IF(COUNTA(A369:F369)=0,"",IF(OR(A369="",B369="",C369="",D369=""),"COMPLETE ROW",IF(COUNTIF(Clients!$A$5:$A$404,C369)=0,"CLIENT NOT FOUND",IF(COUNTIFS(Clients!$A$5:$A$404,C369,Clients!$B$5:$B$404,"Active")=0,"CLIENT NOT ACTIVE",IF(COUNTIF(Teams!$A$5:$A$104,D369)=0,"TEAM NOT FOUND","OK")))))</x:f>
      </x:c>
    </x:row>
    <x:row r="370">
      <x:c r="E370" s="102"/>
      <x:c r="G370" s="100" t="str">
        <x:f>IF(COUNTA(A370:F370)=0,"",IF(OR(A370="",B370="",C370="",D370=""),"COMPLETE ROW",IF(COUNTIF(Clients!$A$5:$A$404,C370)=0,"CLIENT NOT FOUND",IF(COUNTIFS(Clients!$A$5:$A$404,C370,Clients!$B$5:$B$404,"Active")=0,"CLIENT NOT ACTIVE",IF(COUNTIF(Teams!$A$5:$A$104,D370)=0,"TEAM NOT FOUND","OK")))))</x:f>
      </x:c>
    </x:row>
    <x:row r="371">
      <x:c r="E371" s="102"/>
      <x:c r="G371" s="100" t="str">
        <x:f>IF(COUNTA(A371:F371)=0,"",IF(OR(A371="",B371="",C371="",D371=""),"COMPLETE ROW",IF(COUNTIF(Clients!$A$5:$A$404,C371)=0,"CLIENT NOT FOUND",IF(COUNTIFS(Clients!$A$5:$A$404,C371,Clients!$B$5:$B$404,"Active")=0,"CLIENT NOT ACTIVE",IF(COUNTIF(Teams!$A$5:$A$104,D371)=0,"TEAM NOT FOUND","OK")))))</x:f>
      </x:c>
    </x:row>
    <x:row r="372">
      <x:c r="E372" s="102"/>
      <x:c r="G372" s="100" t="str">
        <x:f>IF(COUNTA(A372:F372)=0,"",IF(OR(A372="",B372="",C372="",D372=""),"COMPLETE ROW",IF(COUNTIF(Clients!$A$5:$A$404,C372)=0,"CLIENT NOT FOUND",IF(COUNTIFS(Clients!$A$5:$A$404,C372,Clients!$B$5:$B$404,"Active")=0,"CLIENT NOT ACTIVE",IF(COUNTIF(Teams!$A$5:$A$104,D372)=0,"TEAM NOT FOUND","OK")))))</x:f>
      </x:c>
    </x:row>
    <x:row r="373">
      <x:c r="E373" s="102"/>
      <x:c r="G373" s="100" t="str">
        <x:f>IF(COUNTA(A373:F373)=0,"",IF(OR(A373="",B373="",C373="",D373=""),"COMPLETE ROW",IF(COUNTIF(Clients!$A$5:$A$404,C373)=0,"CLIENT NOT FOUND",IF(COUNTIFS(Clients!$A$5:$A$404,C373,Clients!$B$5:$B$404,"Active")=0,"CLIENT NOT ACTIVE",IF(COUNTIF(Teams!$A$5:$A$104,D373)=0,"TEAM NOT FOUND","OK")))))</x:f>
      </x:c>
    </x:row>
    <x:row r="374">
      <x:c r="E374" s="102"/>
      <x:c r="G374" s="100" t="str">
        <x:f>IF(COUNTA(A374:F374)=0,"",IF(OR(A374="",B374="",C374="",D374=""),"COMPLETE ROW",IF(COUNTIF(Clients!$A$5:$A$404,C374)=0,"CLIENT NOT FOUND",IF(COUNTIFS(Clients!$A$5:$A$404,C374,Clients!$B$5:$B$404,"Active")=0,"CLIENT NOT ACTIVE",IF(COUNTIF(Teams!$A$5:$A$104,D374)=0,"TEAM NOT FOUND","OK")))))</x:f>
      </x:c>
    </x:row>
    <x:row r="375">
      <x:c r="E375" s="102"/>
      <x:c r="G375" s="100" t="str">
        <x:f>IF(COUNTA(A375:F375)=0,"",IF(OR(A375="",B375="",C375="",D375=""),"COMPLETE ROW",IF(COUNTIF(Clients!$A$5:$A$404,C375)=0,"CLIENT NOT FOUND",IF(COUNTIFS(Clients!$A$5:$A$404,C375,Clients!$B$5:$B$404,"Active")=0,"CLIENT NOT ACTIVE",IF(COUNTIF(Teams!$A$5:$A$104,D375)=0,"TEAM NOT FOUND","OK")))))</x:f>
      </x:c>
    </x:row>
    <x:row r="376">
      <x:c r="E376" s="102"/>
      <x:c r="G376" s="100" t="str">
        <x:f>IF(COUNTA(A376:F376)=0,"",IF(OR(A376="",B376="",C376="",D376=""),"COMPLETE ROW",IF(COUNTIF(Clients!$A$5:$A$404,C376)=0,"CLIENT NOT FOUND",IF(COUNTIFS(Clients!$A$5:$A$404,C376,Clients!$B$5:$B$404,"Active")=0,"CLIENT NOT ACTIVE",IF(COUNTIF(Teams!$A$5:$A$104,D376)=0,"TEAM NOT FOUND","OK")))))</x:f>
      </x:c>
    </x:row>
    <x:row r="377">
      <x:c r="E377" s="102"/>
      <x:c r="G377" s="100" t="str">
        <x:f>IF(COUNTA(A377:F377)=0,"",IF(OR(A377="",B377="",C377="",D377=""),"COMPLETE ROW",IF(COUNTIF(Clients!$A$5:$A$404,C377)=0,"CLIENT NOT FOUND",IF(COUNTIFS(Clients!$A$5:$A$404,C377,Clients!$B$5:$B$404,"Active")=0,"CLIENT NOT ACTIVE",IF(COUNTIF(Teams!$A$5:$A$104,D377)=0,"TEAM NOT FOUND","OK")))))</x:f>
      </x:c>
    </x:row>
    <x:row r="378">
      <x:c r="E378" s="102"/>
      <x:c r="G378" s="100" t="str">
        <x:f>IF(COUNTA(A378:F378)=0,"",IF(OR(A378="",B378="",C378="",D378=""),"COMPLETE ROW",IF(COUNTIF(Clients!$A$5:$A$404,C378)=0,"CLIENT NOT FOUND",IF(COUNTIFS(Clients!$A$5:$A$404,C378,Clients!$B$5:$B$404,"Active")=0,"CLIENT NOT ACTIVE",IF(COUNTIF(Teams!$A$5:$A$104,D378)=0,"TEAM NOT FOUND","OK")))))</x:f>
      </x:c>
    </x:row>
    <x:row r="379">
      <x:c r="E379" s="102"/>
      <x:c r="G379" s="100" t="str">
        <x:f>IF(COUNTA(A379:F379)=0,"",IF(OR(A379="",B379="",C379="",D379=""),"COMPLETE ROW",IF(COUNTIF(Clients!$A$5:$A$404,C379)=0,"CLIENT NOT FOUND",IF(COUNTIFS(Clients!$A$5:$A$404,C379,Clients!$B$5:$B$404,"Active")=0,"CLIENT NOT ACTIVE",IF(COUNTIF(Teams!$A$5:$A$104,D379)=0,"TEAM NOT FOUND","OK")))))</x:f>
      </x:c>
    </x:row>
    <x:row r="380">
      <x:c r="E380" s="102"/>
      <x:c r="G380" s="100" t="str">
        <x:f>IF(COUNTA(A380:F380)=0,"",IF(OR(A380="",B380="",C380="",D380=""),"COMPLETE ROW",IF(COUNTIF(Clients!$A$5:$A$404,C380)=0,"CLIENT NOT FOUND",IF(COUNTIFS(Clients!$A$5:$A$404,C380,Clients!$B$5:$B$404,"Active")=0,"CLIENT NOT ACTIVE",IF(COUNTIF(Teams!$A$5:$A$104,D380)=0,"TEAM NOT FOUND","OK")))))</x:f>
      </x:c>
    </x:row>
    <x:row r="381">
      <x:c r="E381" s="102"/>
      <x:c r="G381" s="100" t="str">
        <x:f>IF(COUNTA(A381:F381)=0,"",IF(OR(A381="",B381="",C381="",D381=""),"COMPLETE ROW",IF(COUNTIF(Clients!$A$5:$A$404,C381)=0,"CLIENT NOT FOUND",IF(COUNTIFS(Clients!$A$5:$A$404,C381,Clients!$B$5:$B$404,"Active")=0,"CLIENT NOT ACTIVE",IF(COUNTIF(Teams!$A$5:$A$104,D381)=0,"TEAM NOT FOUND","OK")))))</x:f>
      </x:c>
    </x:row>
    <x:row r="382">
      <x:c r="E382" s="102"/>
      <x:c r="G382" s="100" t="str">
        <x:f>IF(COUNTA(A382:F382)=0,"",IF(OR(A382="",B382="",C382="",D382=""),"COMPLETE ROW",IF(COUNTIF(Clients!$A$5:$A$404,C382)=0,"CLIENT NOT FOUND",IF(COUNTIFS(Clients!$A$5:$A$404,C382,Clients!$B$5:$B$404,"Active")=0,"CLIENT NOT ACTIVE",IF(COUNTIF(Teams!$A$5:$A$104,D382)=0,"TEAM NOT FOUND","OK")))))</x:f>
      </x:c>
    </x:row>
    <x:row r="383">
      <x:c r="E383" s="102"/>
      <x:c r="G383" s="100" t="str">
        <x:f>IF(COUNTA(A383:F383)=0,"",IF(OR(A383="",B383="",C383="",D383=""),"COMPLETE ROW",IF(COUNTIF(Clients!$A$5:$A$404,C383)=0,"CLIENT NOT FOUND",IF(COUNTIFS(Clients!$A$5:$A$404,C383,Clients!$B$5:$B$404,"Active")=0,"CLIENT NOT ACTIVE",IF(COUNTIF(Teams!$A$5:$A$104,D383)=0,"TEAM NOT FOUND","OK")))))</x:f>
      </x:c>
    </x:row>
    <x:row r="384">
      <x:c r="E384" s="102"/>
      <x:c r="G384" s="100" t="str">
        <x:f>IF(COUNTA(A384:F384)=0,"",IF(OR(A384="",B384="",C384="",D384=""),"COMPLETE ROW",IF(COUNTIF(Clients!$A$5:$A$404,C384)=0,"CLIENT NOT FOUND",IF(COUNTIFS(Clients!$A$5:$A$404,C384,Clients!$B$5:$B$404,"Active")=0,"CLIENT NOT ACTIVE",IF(COUNTIF(Teams!$A$5:$A$104,D384)=0,"TEAM NOT FOUND","OK")))))</x:f>
      </x:c>
    </x:row>
    <x:row r="385">
      <x:c r="E385" s="102"/>
      <x:c r="G385" s="100" t="str">
        <x:f>IF(COUNTA(A385:F385)=0,"",IF(OR(A385="",B385="",C385="",D385=""),"COMPLETE ROW",IF(COUNTIF(Clients!$A$5:$A$404,C385)=0,"CLIENT NOT FOUND",IF(COUNTIFS(Clients!$A$5:$A$404,C385,Clients!$B$5:$B$404,"Active")=0,"CLIENT NOT ACTIVE",IF(COUNTIF(Teams!$A$5:$A$104,D385)=0,"TEAM NOT FOUND","OK")))))</x:f>
      </x:c>
    </x:row>
    <x:row r="386">
      <x:c r="E386" s="102"/>
      <x:c r="G386" s="100" t="str">
        <x:f>IF(COUNTA(A386:F386)=0,"",IF(OR(A386="",B386="",C386="",D386=""),"COMPLETE ROW",IF(COUNTIF(Clients!$A$5:$A$404,C386)=0,"CLIENT NOT FOUND",IF(COUNTIFS(Clients!$A$5:$A$404,C386,Clients!$B$5:$B$404,"Active")=0,"CLIENT NOT ACTIVE",IF(COUNTIF(Teams!$A$5:$A$104,D386)=0,"TEAM NOT FOUND","OK")))))</x:f>
      </x:c>
    </x:row>
    <x:row r="387">
      <x:c r="E387" s="102"/>
      <x:c r="G387" s="100" t="str">
        <x:f>IF(COUNTA(A387:F387)=0,"",IF(OR(A387="",B387="",C387="",D387=""),"COMPLETE ROW",IF(COUNTIF(Clients!$A$5:$A$404,C387)=0,"CLIENT NOT FOUND",IF(COUNTIFS(Clients!$A$5:$A$404,C387,Clients!$B$5:$B$404,"Active")=0,"CLIENT NOT ACTIVE",IF(COUNTIF(Teams!$A$5:$A$104,D387)=0,"TEAM NOT FOUND","OK")))))</x:f>
      </x:c>
    </x:row>
    <x:row r="388">
      <x:c r="E388" s="102"/>
      <x:c r="G388" s="100" t="str">
        <x:f>IF(COUNTA(A388:F388)=0,"",IF(OR(A388="",B388="",C388="",D388=""),"COMPLETE ROW",IF(COUNTIF(Clients!$A$5:$A$404,C388)=0,"CLIENT NOT FOUND",IF(COUNTIFS(Clients!$A$5:$A$404,C388,Clients!$B$5:$B$404,"Active")=0,"CLIENT NOT ACTIVE",IF(COUNTIF(Teams!$A$5:$A$104,D388)=0,"TEAM NOT FOUND","OK")))))</x:f>
      </x:c>
    </x:row>
    <x:row r="389">
      <x:c r="E389" s="102"/>
      <x:c r="G389" s="100" t="str">
        <x:f>IF(COUNTA(A389:F389)=0,"",IF(OR(A389="",B389="",C389="",D389=""),"COMPLETE ROW",IF(COUNTIF(Clients!$A$5:$A$404,C389)=0,"CLIENT NOT FOUND",IF(COUNTIFS(Clients!$A$5:$A$404,C389,Clients!$B$5:$B$404,"Active")=0,"CLIENT NOT ACTIVE",IF(COUNTIF(Teams!$A$5:$A$104,D389)=0,"TEAM NOT FOUND","OK")))))</x:f>
      </x:c>
    </x:row>
    <x:row r="390">
      <x:c r="E390" s="102"/>
      <x:c r="G390" s="100" t="str">
        <x:f>IF(COUNTA(A390:F390)=0,"",IF(OR(A390="",B390="",C390="",D390=""),"COMPLETE ROW",IF(COUNTIF(Clients!$A$5:$A$404,C390)=0,"CLIENT NOT FOUND",IF(COUNTIFS(Clients!$A$5:$A$404,C390,Clients!$B$5:$B$404,"Active")=0,"CLIENT NOT ACTIVE",IF(COUNTIF(Teams!$A$5:$A$104,D390)=0,"TEAM NOT FOUND","OK")))))</x:f>
      </x:c>
    </x:row>
    <x:row r="391">
      <x:c r="E391" s="102"/>
      <x:c r="G391" s="100" t="str">
        <x:f>IF(COUNTA(A391:F391)=0,"",IF(OR(A391="",B391="",C391="",D391=""),"COMPLETE ROW",IF(COUNTIF(Clients!$A$5:$A$404,C391)=0,"CLIENT NOT FOUND",IF(COUNTIFS(Clients!$A$5:$A$404,C391,Clients!$B$5:$B$404,"Active")=0,"CLIENT NOT ACTIVE",IF(COUNTIF(Teams!$A$5:$A$104,D391)=0,"TEAM NOT FOUND","OK")))))</x:f>
      </x:c>
    </x:row>
    <x:row r="392">
      <x:c r="E392" s="102"/>
      <x:c r="G392" s="100" t="str">
        <x:f>IF(COUNTA(A392:F392)=0,"",IF(OR(A392="",B392="",C392="",D392=""),"COMPLETE ROW",IF(COUNTIF(Clients!$A$5:$A$404,C392)=0,"CLIENT NOT FOUND",IF(COUNTIFS(Clients!$A$5:$A$404,C392,Clients!$B$5:$B$404,"Active")=0,"CLIENT NOT ACTIVE",IF(COUNTIF(Teams!$A$5:$A$104,D392)=0,"TEAM NOT FOUND","OK")))))</x:f>
      </x:c>
    </x:row>
    <x:row r="393">
      <x:c r="E393" s="102"/>
      <x:c r="G393" s="100" t="str">
        <x:f>IF(COUNTA(A393:F393)=0,"",IF(OR(A393="",B393="",C393="",D393=""),"COMPLETE ROW",IF(COUNTIF(Clients!$A$5:$A$404,C393)=0,"CLIENT NOT FOUND",IF(COUNTIFS(Clients!$A$5:$A$404,C393,Clients!$B$5:$B$404,"Active")=0,"CLIENT NOT ACTIVE",IF(COUNTIF(Teams!$A$5:$A$104,D393)=0,"TEAM NOT FOUND","OK")))))</x:f>
      </x:c>
    </x:row>
    <x:row r="394">
      <x:c r="E394" s="102"/>
      <x:c r="G394" s="100" t="str">
        <x:f>IF(COUNTA(A394:F394)=0,"",IF(OR(A394="",B394="",C394="",D394=""),"COMPLETE ROW",IF(COUNTIF(Clients!$A$5:$A$404,C394)=0,"CLIENT NOT FOUND",IF(COUNTIFS(Clients!$A$5:$A$404,C394,Clients!$B$5:$B$404,"Active")=0,"CLIENT NOT ACTIVE",IF(COUNTIF(Teams!$A$5:$A$104,D394)=0,"TEAM NOT FOUND","OK")))))</x:f>
      </x:c>
    </x:row>
    <x:row r="395">
      <x:c r="E395" s="102"/>
      <x:c r="G395" s="100" t="str">
        <x:f>IF(COUNTA(A395:F395)=0,"",IF(OR(A395="",B395="",C395="",D395=""),"COMPLETE ROW",IF(COUNTIF(Clients!$A$5:$A$404,C395)=0,"CLIENT NOT FOUND",IF(COUNTIFS(Clients!$A$5:$A$404,C395,Clients!$B$5:$B$404,"Active")=0,"CLIENT NOT ACTIVE",IF(COUNTIF(Teams!$A$5:$A$104,D395)=0,"TEAM NOT FOUND","OK")))))</x:f>
      </x:c>
    </x:row>
    <x:row r="396">
      <x:c r="E396" s="102"/>
      <x:c r="G396" s="100" t="str">
        <x:f>IF(COUNTA(A396:F396)=0,"",IF(OR(A396="",B396="",C396="",D396=""),"COMPLETE ROW",IF(COUNTIF(Clients!$A$5:$A$404,C396)=0,"CLIENT NOT FOUND",IF(COUNTIFS(Clients!$A$5:$A$404,C396,Clients!$B$5:$B$404,"Active")=0,"CLIENT NOT ACTIVE",IF(COUNTIF(Teams!$A$5:$A$104,D396)=0,"TEAM NOT FOUND","OK")))))</x:f>
      </x:c>
    </x:row>
    <x:row r="397">
      <x:c r="E397" s="102"/>
      <x:c r="G397" s="100" t="str">
        <x:f>IF(COUNTA(A397:F397)=0,"",IF(OR(A397="",B397="",C397="",D397=""),"COMPLETE ROW",IF(COUNTIF(Clients!$A$5:$A$404,C397)=0,"CLIENT NOT FOUND",IF(COUNTIFS(Clients!$A$5:$A$404,C397,Clients!$B$5:$B$404,"Active")=0,"CLIENT NOT ACTIVE",IF(COUNTIF(Teams!$A$5:$A$104,D397)=0,"TEAM NOT FOUND","OK")))))</x:f>
      </x:c>
    </x:row>
    <x:row r="398">
      <x:c r="E398" s="102"/>
      <x:c r="G398" s="100" t="str">
        <x:f>IF(COUNTA(A398:F398)=0,"",IF(OR(A398="",B398="",C398="",D398=""),"COMPLETE ROW",IF(COUNTIF(Clients!$A$5:$A$404,C398)=0,"CLIENT NOT FOUND",IF(COUNTIFS(Clients!$A$5:$A$404,C398,Clients!$B$5:$B$404,"Active")=0,"CLIENT NOT ACTIVE",IF(COUNTIF(Teams!$A$5:$A$104,D398)=0,"TEAM NOT FOUND","OK")))))</x:f>
      </x:c>
    </x:row>
    <x:row r="399">
      <x:c r="E399" s="102"/>
      <x:c r="G399" s="100" t="str">
        <x:f>IF(COUNTA(A399:F399)=0,"",IF(OR(A399="",B399="",C399="",D399=""),"COMPLETE ROW",IF(COUNTIF(Clients!$A$5:$A$404,C399)=0,"CLIENT NOT FOUND",IF(COUNTIFS(Clients!$A$5:$A$404,C399,Clients!$B$5:$B$404,"Active")=0,"CLIENT NOT ACTIVE",IF(COUNTIF(Teams!$A$5:$A$104,D399)=0,"TEAM NOT FOUND","OK")))))</x:f>
      </x:c>
    </x:row>
    <x:row r="400">
      <x:c r="E400" s="102"/>
      <x:c r="G400" s="100" t="str">
        <x:f>IF(COUNTA(A400:F400)=0,"",IF(OR(A400="",B400="",C400="",D400=""),"COMPLETE ROW",IF(COUNTIF(Clients!$A$5:$A$404,C400)=0,"CLIENT NOT FOUND",IF(COUNTIFS(Clients!$A$5:$A$404,C400,Clients!$B$5:$B$404,"Active")=0,"CLIENT NOT ACTIVE",IF(COUNTIF(Teams!$A$5:$A$104,D400)=0,"TEAM NOT FOUND","OK")))))</x:f>
      </x:c>
    </x:row>
    <x:row r="401">
      <x:c r="E401" s="102"/>
      <x:c r="G401" s="100" t="str">
        <x:f>IF(COUNTA(A401:F401)=0,"",IF(OR(A401="",B401="",C401="",D401=""),"COMPLETE ROW",IF(COUNTIF(Clients!$A$5:$A$404,C401)=0,"CLIENT NOT FOUND",IF(COUNTIFS(Clients!$A$5:$A$404,C401,Clients!$B$5:$B$404,"Active")=0,"CLIENT NOT ACTIVE",IF(COUNTIF(Teams!$A$5:$A$104,D401)=0,"TEAM NOT FOUND","OK")))))</x:f>
      </x:c>
    </x:row>
    <x:row r="402">
      <x:c r="E402" s="102"/>
      <x:c r="G402" s="100" t="str">
        <x:f>IF(COUNTA(A402:F402)=0,"",IF(OR(A402="",B402="",C402="",D402=""),"COMPLETE ROW",IF(COUNTIF(Clients!$A$5:$A$404,C402)=0,"CLIENT NOT FOUND",IF(COUNTIFS(Clients!$A$5:$A$404,C402,Clients!$B$5:$B$404,"Active")=0,"CLIENT NOT ACTIVE",IF(COUNTIF(Teams!$A$5:$A$104,D402)=0,"TEAM NOT FOUND","OK")))))</x:f>
      </x:c>
    </x:row>
    <x:row r="403">
      <x:c r="E403" s="102"/>
      <x:c r="G403" s="100" t="str">
        <x:f>IF(COUNTA(A403:F403)=0,"",IF(OR(A403="",B403="",C403="",D403=""),"COMPLETE ROW",IF(COUNTIF(Clients!$A$5:$A$404,C403)=0,"CLIENT NOT FOUND",IF(COUNTIFS(Clients!$A$5:$A$404,C403,Clients!$B$5:$B$404,"Active")=0,"CLIENT NOT ACTIVE",IF(COUNTIF(Teams!$A$5:$A$104,D403)=0,"TEAM NOT FOUND","OK")))))</x:f>
      </x:c>
    </x:row>
    <x:row r="404">
      <x:c r="E404" s="102"/>
      <x:c r="G404" s="100" t="str">
        <x:f>IF(COUNTA(A404:F404)=0,"",IF(OR(A404="",B404="",C404="",D404=""),"COMPLETE ROW",IF(COUNTIF(Clients!$A$5:$A$404,C404)=0,"CLIENT NOT FOUND",IF(COUNTIFS(Clients!$A$5:$A$404,C404,Clients!$B$5:$B$404,"Active")=0,"CLIENT NOT ACTIVE",IF(COUNTIF(Teams!$A$5:$A$104,D404)=0,"TEAM NOT FOUND","OK")))))</x:f>
      </x:c>
    </x:row>
    <x:row r="405">
      <x:c r="E405" s="102"/>
      <x:c r="G405" s="100" t="str">
        <x:f>IF(COUNTA(A405:F405)=0,"",IF(OR(A405="",B405="",C405="",D405=""),"COMPLETE ROW",IF(COUNTIF(Clients!$A$5:$A$404,C405)=0,"CLIENT NOT FOUND",IF(COUNTIFS(Clients!$A$5:$A$404,C405,Clients!$B$5:$B$404,"Active")=0,"CLIENT NOT ACTIVE",IF(COUNTIF(Teams!$A$5:$A$104,D405)=0,"TEAM NOT FOUND","OK")))))</x:f>
      </x:c>
    </x:row>
    <x:row r="406">
      <x:c r="E406" s="102"/>
      <x:c r="G406" s="100" t="str">
        <x:f>IF(COUNTA(A406:F406)=0,"",IF(OR(A406="",B406="",C406="",D406=""),"COMPLETE ROW",IF(COUNTIF(Clients!$A$5:$A$404,C406)=0,"CLIENT NOT FOUND",IF(COUNTIFS(Clients!$A$5:$A$404,C406,Clients!$B$5:$B$404,"Active")=0,"CLIENT NOT ACTIVE",IF(COUNTIF(Teams!$A$5:$A$104,D406)=0,"TEAM NOT FOUND","OK")))))</x:f>
      </x:c>
    </x:row>
    <x:row r="407">
      <x:c r="E407" s="102"/>
      <x:c r="G407" s="100" t="str">
        <x:f>IF(COUNTA(A407:F407)=0,"",IF(OR(A407="",B407="",C407="",D407=""),"COMPLETE ROW",IF(COUNTIF(Clients!$A$5:$A$404,C407)=0,"CLIENT NOT FOUND",IF(COUNTIFS(Clients!$A$5:$A$404,C407,Clients!$B$5:$B$404,"Active")=0,"CLIENT NOT ACTIVE",IF(COUNTIF(Teams!$A$5:$A$104,D407)=0,"TEAM NOT FOUND","OK")))))</x:f>
      </x:c>
    </x:row>
    <x:row r="408">
      <x:c r="E408" s="102"/>
      <x:c r="G408" s="100" t="str">
        <x:f>IF(COUNTA(A408:F408)=0,"",IF(OR(A408="",B408="",C408="",D408=""),"COMPLETE ROW",IF(COUNTIF(Clients!$A$5:$A$404,C408)=0,"CLIENT NOT FOUND",IF(COUNTIFS(Clients!$A$5:$A$404,C408,Clients!$B$5:$B$404,"Active")=0,"CLIENT NOT ACTIVE",IF(COUNTIF(Teams!$A$5:$A$104,D408)=0,"TEAM NOT FOUND","OK")))))</x:f>
      </x:c>
    </x:row>
    <x:row r="409">
      <x:c r="E409" s="102"/>
      <x:c r="G409" s="100" t="str">
        <x:f>IF(COUNTA(A409:F409)=0,"",IF(OR(A409="",B409="",C409="",D409=""),"COMPLETE ROW",IF(COUNTIF(Clients!$A$5:$A$404,C409)=0,"CLIENT NOT FOUND",IF(COUNTIFS(Clients!$A$5:$A$404,C409,Clients!$B$5:$B$404,"Active")=0,"CLIENT NOT ACTIVE",IF(COUNTIF(Teams!$A$5:$A$104,D409)=0,"TEAM NOT FOUND","OK")))))</x:f>
      </x:c>
    </x:row>
    <x:row r="410">
      <x:c r="E410" s="102"/>
      <x:c r="G410" s="100" t="str">
        <x:f>IF(COUNTA(A410:F410)=0,"",IF(OR(A410="",B410="",C410="",D410=""),"COMPLETE ROW",IF(COUNTIF(Clients!$A$5:$A$404,C410)=0,"CLIENT NOT FOUND",IF(COUNTIFS(Clients!$A$5:$A$404,C410,Clients!$B$5:$B$404,"Active")=0,"CLIENT NOT ACTIVE",IF(COUNTIF(Teams!$A$5:$A$104,D410)=0,"TEAM NOT FOUND","OK")))))</x:f>
      </x:c>
    </x:row>
    <x:row r="411">
      <x:c r="E411" s="102"/>
      <x:c r="G411" s="100" t="str">
        <x:f>IF(COUNTA(A411:F411)=0,"",IF(OR(A411="",B411="",C411="",D411=""),"COMPLETE ROW",IF(COUNTIF(Clients!$A$5:$A$404,C411)=0,"CLIENT NOT FOUND",IF(COUNTIFS(Clients!$A$5:$A$404,C411,Clients!$B$5:$B$404,"Active")=0,"CLIENT NOT ACTIVE",IF(COUNTIF(Teams!$A$5:$A$104,D411)=0,"TEAM NOT FOUND","OK")))))</x:f>
      </x:c>
    </x:row>
    <x:row r="412">
      <x:c r="E412" s="102"/>
      <x:c r="G412" s="100" t="str">
        <x:f>IF(COUNTA(A412:F412)=0,"",IF(OR(A412="",B412="",C412="",D412=""),"COMPLETE ROW",IF(COUNTIF(Clients!$A$5:$A$404,C412)=0,"CLIENT NOT FOUND",IF(COUNTIFS(Clients!$A$5:$A$404,C412,Clients!$B$5:$B$404,"Active")=0,"CLIENT NOT ACTIVE",IF(COUNTIF(Teams!$A$5:$A$104,D412)=0,"TEAM NOT FOUND","OK")))))</x:f>
      </x:c>
    </x:row>
    <x:row r="413">
      <x:c r="E413" s="102"/>
      <x:c r="G413" s="100" t="str">
        <x:f>IF(COUNTA(A413:F413)=0,"",IF(OR(A413="",B413="",C413="",D413=""),"COMPLETE ROW",IF(COUNTIF(Clients!$A$5:$A$404,C413)=0,"CLIENT NOT FOUND",IF(COUNTIFS(Clients!$A$5:$A$404,C413,Clients!$B$5:$B$404,"Active")=0,"CLIENT NOT ACTIVE",IF(COUNTIF(Teams!$A$5:$A$104,D413)=0,"TEAM NOT FOUND","OK")))))</x:f>
      </x:c>
    </x:row>
    <x:row r="414">
      <x:c r="E414" s="102"/>
      <x:c r="G414" s="100" t="str">
        <x:f>IF(COUNTA(A414:F414)=0,"",IF(OR(A414="",B414="",C414="",D414=""),"COMPLETE ROW",IF(COUNTIF(Clients!$A$5:$A$404,C414)=0,"CLIENT NOT FOUND",IF(COUNTIFS(Clients!$A$5:$A$404,C414,Clients!$B$5:$B$404,"Active")=0,"CLIENT NOT ACTIVE",IF(COUNTIF(Teams!$A$5:$A$104,D414)=0,"TEAM NOT FOUND","OK")))))</x:f>
      </x:c>
    </x:row>
    <x:row r="415">
      <x:c r="E415" s="102"/>
      <x:c r="G415" s="100" t="str">
        <x:f>IF(COUNTA(A415:F415)=0,"",IF(OR(A415="",B415="",C415="",D415=""),"COMPLETE ROW",IF(COUNTIF(Clients!$A$5:$A$404,C415)=0,"CLIENT NOT FOUND",IF(COUNTIFS(Clients!$A$5:$A$404,C415,Clients!$B$5:$B$404,"Active")=0,"CLIENT NOT ACTIVE",IF(COUNTIF(Teams!$A$5:$A$104,D415)=0,"TEAM NOT FOUND","OK")))))</x:f>
      </x:c>
    </x:row>
    <x:row r="416">
      <x:c r="E416" s="102"/>
      <x:c r="G416" s="100" t="str">
        <x:f>IF(COUNTA(A416:F416)=0,"",IF(OR(A416="",B416="",C416="",D416=""),"COMPLETE ROW",IF(COUNTIF(Clients!$A$5:$A$404,C416)=0,"CLIENT NOT FOUND",IF(COUNTIFS(Clients!$A$5:$A$404,C416,Clients!$B$5:$B$404,"Active")=0,"CLIENT NOT ACTIVE",IF(COUNTIF(Teams!$A$5:$A$104,D416)=0,"TEAM NOT FOUND","OK")))))</x:f>
      </x:c>
    </x:row>
    <x:row r="417">
      <x:c r="E417" s="102"/>
      <x:c r="G417" s="100" t="str">
        <x:f>IF(COUNTA(A417:F417)=0,"",IF(OR(A417="",B417="",C417="",D417=""),"COMPLETE ROW",IF(COUNTIF(Clients!$A$5:$A$404,C417)=0,"CLIENT NOT FOUND",IF(COUNTIFS(Clients!$A$5:$A$404,C417,Clients!$B$5:$B$404,"Active")=0,"CLIENT NOT ACTIVE",IF(COUNTIF(Teams!$A$5:$A$104,D417)=0,"TEAM NOT FOUND","OK")))))</x:f>
      </x:c>
    </x:row>
    <x:row r="418">
      <x:c r="E418" s="102"/>
      <x:c r="G418" s="100" t="str">
        <x:f>IF(COUNTA(A418:F418)=0,"",IF(OR(A418="",B418="",C418="",D418=""),"COMPLETE ROW",IF(COUNTIF(Clients!$A$5:$A$404,C418)=0,"CLIENT NOT FOUND",IF(COUNTIFS(Clients!$A$5:$A$404,C418,Clients!$B$5:$B$404,"Active")=0,"CLIENT NOT ACTIVE",IF(COUNTIF(Teams!$A$5:$A$104,D418)=0,"TEAM NOT FOUND","OK")))))</x:f>
      </x:c>
    </x:row>
    <x:row r="419">
      <x:c r="E419" s="102"/>
      <x:c r="G419" s="100" t="str">
        <x:f>IF(COUNTA(A419:F419)=0,"",IF(OR(A419="",B419="",C419="",D419=""),"COMPLETE ROW",IF(COUNTIF(Clients!$A$5:$A$404,C419)=0,"CLIENT NOT FOUND",IF(COUNTIFS(Clients!$A$5:$A$404,C419,Clients!$B$5:$B$404,"Active")=0,"CLIENT NOT ACTIVE",IF(COUNTIF(Teams!$A$5:$A$104,D419)=0,"TEAM NOT FOUND","OK")))))</x:f>
      </x:c>
    </x:row>
    <x:row r="420">
      <x:c r="E420" s="102"/>
      <x:c r="G420" s="100" t="str">
        <x:f>IF(COUNTA(A420:F420)=0,"",IF(OR(A420="",B420="",C420="",D420=""),"COMPLETE ROW",IF(COUNTIF(Clients!$A$5:$A$404,C420)=0,"CLIENT NOT FOUND",IF(COUNTIFS(Clients!$A$5:$A$404,C420,Clients!$B$5:$B$404,"Active")=0,"CLIENT NOT ACTIVE",IF(COUNTIF(Teams!$A$5:$A$104,D420)=0,"TEAM NOT FOUND","OK")))))</x:f>
      </x:c>
    </x:row>
    <x:row r="421">
      <x:c r="E421" s="102"/>
      <x:c r="G421" s="100" t="str">
        <x:f>IF(COUNTA(A421:F421)=0,"",IF(OR(A421="",B421="",C421="",D421=""),"COMPLETE ROW",IF(COUNTIF(Clients!$A$5:$A$404,C421)=0,"CLIENT NOT FOUND",IF(COUNTIFS(Clients!$A$5:$A$404,C421,Clients!$B$5:$B$404,"Active")=0,"CLIENT NOT ACTIVE",IF(COUNTIF(Teams!$A$5:$A$104,D421)=0,"TEAM NOT FOUND","OK")))))</x:f>
      </x:c>
    </x:row>
    <x:row r="422">
      <x:c r="E422" s="102"/>
      <x:c r="G422" s="100" t="str">
        <x:f>IF(COUNTA(A422:F422)=0,"",IF(OR(A422="",B422="",C422="",D422=""),"COMPLETE ROW",IF(COUNTIF(Clients!$A$5:$A$404,C422)=0,"CLIENT NOT FOUND",IF(COUNTIFS(Clients!$A$5:$A$404,C422,Clients!$B$5:$B$404,"Active")=0,"CLIENT NOT ACTIVE",IF(COUNTIF(Teams!$A$5:$A$104,D422)=0,"TEAM NOT FOUND","OK")))))</x:f>
      </x:c>
    </x:row>
    <x:row r="423">
      <x:c r="E423" s="102"/>
      <x:c r="G423" s="100" t="str">
        <x:f>IF(COUNTA(A423:F423)=0,"",IF(OR(A423="",B423="",C423="",D423=""),"COMPLETE ROW",IF(COUNTIF(Clients!$A$5:$A$404,C423)=0,"CLIENT NOT FOUND",IF(COUNTIFS(Clients!$A$5:$A$404,C423,Clients!$B$5:$B$404,"Active")=0,"CLIENT NOT ACTIVE",IF(COUNTIF(Teams!$A$5:$A$104,D423)=0,"TEAM NOT FOUND","OK")))))</x:f>
      </x:c>
    </x:row>
    <x:row r="424">
      <x:c r="E424" s="102"/>
      <x:c r="G424" s="100" t="str">
        <x:f>IF(COUNTA(A424:F424)=0,"",IF(OR(A424="",B424="",C424="",D424=""),"COMPLETE ROW",IF(COUNTIF(Clients!$A$5:$A$404,C424)=0,"CLIENT NOT FOUND",IF(COUNTIFS(Clients!$A$5:$A$404,C424,Clients!$B$5:$B$404,"Active")=0,"CLIENT NOT ACTIVE",IF(COUNTIF(Teams!$A$5:$A$104,D424)=0,"TEAM NOT FOUND","OK")))))</x:f>
      </x:c>
    </x:row>
    <x:row r="425">
      <x:c r="E425" s="102"/>
      <x:c r="G425" s="100" t="str">
        <x:f>IF(COUNTA(A425:F425)=0,"",IF(OR(A425="",B425="",C425="",D425=""),"COMPLETE ROW",IF(COUNTIF(Clients!$A$5:$A$404,C425)=0,"CLIENT NOT FOUND",IF(COUNTIFS(Clients!$A$5:$A$404,C425,Clients!$B$5:$B$404,"Active")=0,"CLIENT NOT ACTIVE",IF(COUNTIF(Teams!$A$5:$A$104,D425)=0,"TEAM NOT FOUND","OK")))))</x:f>
      </x:c>
    </x:row>
    <x:row r="426">
      <x:c r="E426" s="102"/>
      <x:c r="G426" s="100" t="str">
        <x:f>IF(COUNTA(A426:F426)=0,"",IF(OR(A426="",B426="",C426="",D426=""),"COMPLETE ROW",IF(COUNTIF(Clients!$A$5:$A$404,C426)=0,"CLIENT NOT FOUND",IF(COUNTIFS(Clients!$A$5:$A$404,C426,Clients!$B$5:$B$404,"Active")=0,"CLIENT NOT ACTIVE",IF(COUNTIF(Teams!$A$5:$A$104,D426)=0,"TEAM NOT FOUND","OK")))))</x:f>
      </x:c>
    </x:row>
    <x:row r="427">
      <x:c r="E427" s="102"/>
      <x:c r="G427" s="100" t="str">
        <x:f>IF(COUNTA(A427:F427)=0,"",IF(OR(A427="",B427="",C427="",D427=""),"COMPLETE ROW",IF(COUNTIF(Clients!$A$5:$A$404,C427)=0,"CLIENT NOT FOUND",IF(COUNTIFS(Clients!$A$5:$A$404,C427,Clients!$B$5:$B$404,"Active")=0,"CLIENT NOT ACTIVE",IF(COUNTIF(Teams!$A$5:$A$104,D427)=0,"TEAM NOT FOUND","OK")))))</x:f>
      </x:c>
    </x:row>
    <x:row r="428">
      <x:c r="E428" s="102"/>
      <x:c r="G428" s="100" t="str">
        <x:f>IF(COUNTA(A428:F428)=0,"",IF(OR(A428="",B428="",C428="",D428=""),"COMPLETE ROW",IF(COUNTIF(Clients!$A$5:$A$404,C428)=0,"CLIENT NOT FOUND",IF(COUNTIFS(Clients!$A$5:$A$404,C428,Clients!$B$5:$B$404,"Active")=0,"CLIENT NOT ACTIVE",IF(COUNTIF(Teams!$A$5:$A$104,D428)=0,"TEAM NOT FOUND","OK")))))</x:f>
      </x:c>
    </x:row>
    <x:row r="429">
      <x:c r="E429" s="102"/>
      <x:c r="G429" s="100" t="str">
        <x:f>IF(COUNTA(A429:F429)=0,"",IF(OR(A429="",B429="",C429="",D429=""),"COMPLETE ROW",IF(COUNTIF(Clients!$A$5:$A$404,C429)=0,"CLIENT NOT FOUND",IF(COUNTIFS(Clients!$A$5:$A$404,C429,Clients!$B$5:$B$404,"Active")=0,"CLIENT NOT ACTIVE",IF(COUNTIF(Teams!$A$5:$A$104,D429)=0,"TEAM NOT FOUND","OK")))))</x:f>
      </x:c>
    </x:row>
    <x:row r="430">
      <x:c r="E430" s="102"/>
      <x:c r="G430" s="100" t="str">
        <x:f>IF(COUNTA(A430:F430)=0,"",IF(OR(A430="",B430="",C430="",D430=""),"COMPLETE ROW",IF(COUNTIF(Clients!$A$5:$A$404,C430)=0,"CLIENT NOT FOUND",IF(COUNTIFS(Clients!$A$5:$A$404,C430,Clients!$B$5:$B$404,"Active")=0,"CLIENT NOT ACTIVE",IF(COUNTIF(Teams!$A$5:$A$104,D430)=0,"TEAM NOT FOUND","OK")))))</x:f>
      </x:c>
    </x:row>
    <x:row r="431">
      <x:c r="E431" s="102"/>
      <x:c r="G431" s="100" t="str">
        <x:f>IF(COUNTA(A431:F431)=0,"",IF(OR(A431="",B431="",C431="",D431=""),"COMPLETE ROW",IF(COUNTIF(Clients!$A$5:$A$404,C431)=0,"CLIENT NOT FOUND",IF(COUNTIFS(Clients!$A$5:$A$404,C431,Clients!$B$5:$B$404,"Active")=0,"CLIENT NOT ACTIVE",IF(COUNTIF(Teams!$A$5:$A$104,D431)=0,"TEAM NOT FOUND","OK")))))</x:f>
      </x:c>
    </x:row>
    <x:row r="432">
      <x:c r="E432" s="102"/>
      <x:c r="G432" s="100" t="str">
        <x:f>IF(COUNTA(A432:F432)=0,"",IF(OR(A432="",B432="",C432="",D432=""),"COMPLETE ROW",IF(COUNTIF(Clients!$A$5:$A$404,C432)=0,"CLIENT NOT FOUND",IF(COUNTIFS(Clients!$A$5:$A$404,C432,Clients!$B$5:$B$404,"Active")=0,"CLIENT NOT ACTIVE",IF(COUNTIF(Teams!$A$5:$A$104,D432)=0,"TEAM NOT FOUND","OK")))))</x:f>
      </x:c>
    </x:row>
    <x:row r="433">
      <x:c r="E433" s="102"/>
      <x:c r="G433" s="100" t="str">
        <x:f>IF(COUNTA(A433:F433)=0,"",IF(OR(A433="",B433="",C433="",D433=""),"COMPLETE ROW",IF(COUNTIF(Clients!$A$5:$A$404,C433)=0,"CLIENT NOT FOUND",IF(COUNTIFS(Clients!$A$5:$A$404,C433,Clients!$B$5:$B$404,"Active")=0,"CLIENT NOT ACTIVE",IF(COUNTIF(Teams!$A$5:$A$104,D433)=0,"TEAM NOT FOUND","OK")))))</x:f>
      </x:c>
    </x:row>
    <x:row r="434">
      <x:c r="E434" s="102"/>
      <x:c r="G434" s="100" t="str">
        <x:f>IF(COUNTA(A434:F434)=0,"",IF(OR(A434="",B434="",C434="",D434=""),"COMPLETE ROW",IF(COUNTIF(Clients!$A$5:$A$404,C434)=0,"CLIENT NOT FOUND",IF(COUNTIFS(Clients!$A$5:$A$404,C434,Clients!$B$5:$B$404,"Active")=0,"CLIENT NOT ACTIVE",IF(COUNTIF(Teams!$A$5:$A$104,D434)=0,"TEAM NOT FOUND","OK")))))</x:f>
      </x:c>
    </x:row>
    <x:row r="435">
      <x:c r="E435" s="102"/>
      <x:c r="G435" s="100" t="str">
        <x:f>IF(COUNTA(A435:F435)=0,"",IF(OR(A435="",B435="",C435="",D435=""),"COMPLETE ROW",IF(COUNTIF(Clients!$A$5:$A$404,C435)=0,"CLIENT NOT FOUND",IF(COUNTIFS(Clients!$A$5:$A$404,C435,Clients!$B$5:$B$404,"Active")=0,"CLIENT NOT ACTIVE",IF(COUNTIF(Teams!$A$5:$A$104,D435)=0,"TEAM NOT FOUND","OK")))))</x:f>
      </x:c>
    </x:row>
    <x:row r="436">
      <x:c r="E436" s="102"/>
      <x:c r="G436" s="100" t="str">
        <x:f>IF(COUNTA(A436:F436)=0,"",IF(OR(A436="",B436="",C436="",D436=""),"COMPLETE ROW",IF(COUNTIF(Clients!$A$5:$A$404,C436)=0,"CLIENT NOT FOUND",IF(COUNTIFS(Clients!$A$5:$A$404,C436,Clients!$B$5:$B$404,"Active")=0,"CLIENT NOT ACTIVE",IF(COUNTIF(Teams!$A$5:$A$104,D436)=0,"TEAM NOT FOUND","OK")))))</x:f>
      </x:c>
    </x:row>
    <x:row r="437">
      <x:c r="E437" s="102"/>
      <x:c r="G437" s="100" t="str">
        <x:f>IF(COUNTA(A437:F437)=0,"",IF(OR(A437="",B437="",C437="",D437=""),"COMPLETE ROW",IF(COUNTIF(Clients!$A$5:$A$404,C437)=0,"CLIENT NOT FOUND",IF(COUNTIFS(Clients!$A$5:$A$404,C437,Clients!$B$5:$B$404,"Active")=0,"CLIENT NOT ACTIVE",IF(COUNTIF(Teams!$A$5:$A$104,D437)=0,"TEAM NOT FOUND","OK")))))</x:f>
      </x:c>
    </x:row>
    <x:row r="438">
      <x:c r="E438" s="102"/>
      <x:c r="G438" s="100" t="str">
        <x:f>IF(COUNTA(A438:F438)=0,"",IF(OR(A438="",B438="",C438="",D438=""),"COMPLETE ROW",IF(COUNTIF(Clients!$A$5:$A$404,C438)=0,"CLIENT NOT FOUND",IF(COUNTIFS(Clients!$A$5:$A$404,C438,Clients!$B$5:$B$404,"Active")=0,"CLIENT NOT ACTIVE",IF(COUNTIF(Teams!$A$5:$A$104,D438)=0,"TEAM NOT FOUND","OK")))))</x:f>
      </x:c>
    </x:row>
    <x:row r="439">
      <x:c r="E439" s="102"/>
      <x:c r="G439" s="100" t="str">
        <x:f>IF(COUNTA(A439:F439)=0,"",IF(OR(A439="",B439="",C439="",D439=""),"COMPLETE ROW",IF(COUNTIF(Clients!$A$5:$A$404,C439)=0,"CLIENT NOT FOUND",IF(COUNTIFS(Clients!$A$5:$A$404,C439,Clients!$B$5:$B$404,"Active")=0,"CLIENT NOT ACTIVE",IF(COUNTIF(Teams!$A$5:$A$104,D439)=0,"TEAM NOT FOUND","OK")))))</x:f>
      </x:c>
    </x:row>
    <x:row r="440">
      <x:c r="E440" s="102"/>
      <x:c r="G440" s="100" t="str">
        <x:f>IF(COUNTA(A440:F440)=0,"",IF(OR(A440="",B440="",C440="",D440=""),"COMPLETE ROW",IF(COUNTIF(Clients!$A$5:$A$404,C440)=0,"CLIENT NOT FOUND",IF(COUNTIFS(Clients!$A$5:$A$404,C440,Clients!$B$5:$B$404,"Active")=0,"CLIENT NOT ACTIVE",IF(COUNTIF(Teams!$A$5:$A$104,D440)=0,"TEAM NOT FOUND","OK")))))</x:f>
      </x:c>
    </x:row>
    <x:row r="441">
      <x:c r="E441" s="102"/>
      <x:c r="G441" s="100" t="str">
        <x:f>IF(COUNTA(A441:F441)=0,"",IF(OR(A441="",B441="",C441="",D441=""),"COMPLETE ROW",IF(COUNTIF(Clients!$A$5:$A$404,C441)=0,"CLIENT NOT FOUND",IF(COUNTIFS(Clients!$A$5:$A$404,C441,Clients!$B$5:$B$404,"Active")=0,"CLIENT NOT ACTIVE",IF(COUNTIF(Teams!$A$5:$A$104,D441)=0,"TEAM NOT FOUND","OK")))))</x:f>
      </x:c>
    </x:row>
    <x:row r="442">
      <x:c r="E442" s="102"/>
      <x:c r="G442" s="100" t="str">
        <x:f>IF(COUNTA(A442:F442)=0,"",IF(OR(A442="",B442="",C442="",D442=""),"COMPLETE ROW",IF(COUNTIF(Clients!$A$5:$A$404,C442)=0,"CLIENT NOT FOUND",IF(COUNTIFS(Clients!$A$5:$A$404,C442,Clients!$B$5:$B$404,"Active")=0,"CLIENT NOT ACTIVE",IF(COUNTIF(Teams!$A$5:$A$104,D442)=0,"TEAM NOT FOUND","OK")))))</x:f>
      </x:c>
    </x:row>
    <x:row r="443">
      <x:c r="E443" s="102"/>
      <x:c r="G443" s="100" t="str">
        <x:f>IF(COUNTA(A443:F443)=0,"",IF(OR(A443="",B443="",C443="",D443=""),"COMPLETE ROW",IF(COUNTIF(Clients!$A$5:$A$404,C443)=0,"CLIENT NOT FOUND",IF(COUNTIFS(Clients!$A$5:$A$404,C443,Clients!$B$5:$B$404,"Active")=0,"CLIENT NOT ACTIVE",IF(COUNTIF(Teams!$A$5:$A$104,D443)=0,"TEAM NOT FOUND","OK")))))</x:f>
      </x:c>
    </x:row>
    <x:row r="444">
      <x:c r="E444" s="102"/>
      <x:c r="G444" s="100" t="str">
        <x:f>IF(COUNTA(A444:F444)=0,"",IF(OR(A444="",B444="",C444="",D444=""),"COMPLETE ROW",IF(COUNTIF(Clients!$A$5:$A$404,C444)=0,"CLIENT NOT FOUND",IF(COUNTIFS(Clients!$A$5:$A$404,C444,Clients!$B$5:$B$404,"Active")=0,"CLIENT NOT ACTIVE",IF(COUNTIF(Teams!$A$5:$A$104,D444)=0,"TEAM NOT FOUND","OK")))))</x:f>
      </x:c>
    </x:row>
    <x:row r="445">
      <x:c r="E445" s="102"/>
      <x:c r="G445" s="100" t="str">
        <x:f>IF(COUNTA(A445:F445)=0,"",IF(OR(A445="",B445="",C445="",D445=""),"COMPLETE ROW",IF(COUNTIF(Clients!$A$5:$A$404,C445)=0,"CLIENT NOT FOUND",IF(COUNTIFS(Clients!$A$5:$A$404,C445,Clients!$B$5:$B$404,"Active")=0,"CLIENT NOT ACTIVE",IF(COUNTIF(Teams!$A$5:$A$104,D445)=0,"TEAM NOT FOUND","OK")))))</x:f>
      </x:c>
    </x:row>
    <x:row r="446">
      <x:c r="E446" s="102"/>
      <x:c r="G446" s="100" t="str">
        <x:f>IF(COUNTA(A446:F446)=0,"",IF(OR(A446="",B446="",C446="",D446=""),"COMPLETE ROW",IF(COUNTIF(Clients!$A$5:$A$404,C446)=0,"CLIENT NOT FOUND",IF(COUNTIFS(Clients!$A$5:$A$404,C446,Clients!$B$5:$B$404,"Active")=0,"CLIENT NOT ACTIVE",IF(COUNTIF(Teams!$A$5:$A$104,D446)=0,"TEAM NOT FOUND","OK")))))</x:f>
      </x:c>
    </x:row>
    <x:row r="447">
      <x:c r="E447" s="102"/>
      <x:c r="G447" s="100" t="str">
        <x:f>IF(COUNTA(A447:F447)=0,"",IF(OR(A447="",B447="",C447="",D447=""),"COMPLETE ROW",IF(COUNTIF(Clients!$A$5:$A$404,C447)=0,"CLIENT NOT FOUND",IF(COUNTIFS(Clients!$A$5:$A$404,C447,Clients!$B$5:$B$404,"Active")=0,"CLIENT NOT ACTIVE",IF(COUNTIF(Teams!$A$5:$A$104,D447)=0,"TEAM NOT FOUND","OK")))))</x:f>
      </x:c>
    </x:row>
    <x:row r="448">
      <x:c r="E448" s="102"/>
      <x:c r="G448" s="100" t="str">
        <x:f>IF(COUNTA(A448:F448)=0,"",IF(OR(A448="",B448="",C448="",D448=""),"COMPLETE ROW",IF(COUNTIF(Clients!$A$5:$A$404,C448)=0,"CLIENT NOT FOUND",IF(COUNTIFS(Clients!$A$5:$A$404,C448,Clients!$B$5:$B$404,"Active")=0,"CLIENT NOT ACTIVE",IF(COUNTIF(Teams!$A$5:$A$104,D448)=0,"TEAM NOT FOUND","OK")))))</x:f>
      </x:c>
    </x:row>
    <x:row r="449">
      <x:c r="E449" s="102"/>
      <x:c r="G449" s="100" t="str">
        <x:f>IF(COUNTA(A449:F449)=0,"",IF(OR(A449="",B449="",C449="",D449=""),"COMPLETE ROW",IF(COUNTIF(Clients!$A$5:$A$404,C449)=0,"CLIENT NOT FOUND",IF(COUNTIFS(Clients!$A$5:$A$404,C449,Clients!$B$5:$B$404,"Active")=0,"CLIENT NOT ACTIVE",IF(COUNTIF(Teams!$A$5:$A$104,D449)=0,"TEAM NOT FOUND","OK")))))</x:f>
      </x:c>
    </x:row>
    <x:row r="450">
      <x:c r="E450" s="102"/>
      <x:c r="G450" s="100" t="str">
        <x:f>IF(COUNTA(A450:F450)=0,"",IF(OR(A450="",B450="",C450="",D450=""),"COMPLETE ROW",IF(COUNTIF(Clients!$A$5:$A$404,C450)=0,"CLIENT NOT FOUND",IF(COUNTIFS(Clients!$A$5:$A$404,C450,Clients!$B$5:$B$404,"Active")=0,"CLIENT NOT ACTIVE",IF(COUNTIF(Teams!$A$5:$A$104,D450)=0,"TEAM NOT FOUND","OK")))))</x:f>
      </x:c>
    </x:row>
    <x:row r="451">
      <x:c r="E451" s="102"/>
      <x:c r="G451" s="100" t="str">
        <x:f>IF(COUNTA(A451:F451)=0,"",IF(OR(A451="",B451="",C451="",D451=""),"COMPLETE ROW",IF(COUNTIF(Clients!$A$5:$A$404,C451)=0,"CLIENT NOT FOUND",IF(COUNTIFS(Clients!$A$5:$A$404,C451,Clients!$B$5:$B$404,"Active")=0,"CLIENT NOT ACTIVE",IF(COUNTIF(Teams!$A$5:$A$104,D451)=0,"TEAM NOT FOUND","OK")))))</x:f>
      </x:c>
    </x:row>
    <x:row r="452">
      <x:c r="E452" s="102"/>
      <x:c r="G452" s="100" t="str">
        <x:f>IF(COUNTA(A452:F452)=0,"",IF(OR(A452="",B452="",C452="",D452=""),"COMPLETE ROW",IF(COUNTIF(Clients!$A$5:$A$404,C452)=0,"CLIENT NOT FOUND",IF(COUNTIFS(Clients!$A$5:$A$404,C452,Clients!$B$5:$B$404,"Active")=0,"CLIENT NOT ACTIVE",IF(COUNTIF(Teams!$A$5:$A$104,D452)=0,"TEAM NOT FOUND","OK")))))</x:f>
      </x:c>
    </x:row>
    <x:row r="453">
      <x:c r="E453" s="102"/>
      <x:c r="G453" s="100" t="str">
        <x:f>IF(COUNTA(A453:F453)=0,"",IF(OR(A453="",B453="",C453="",D453=""),"COMPLETE ROW",IF(COUNTIF(Clients!$A$5:$A$404,C453)=0,"CLIENT NOT FOUND",IF(COUNTIFS(Clients!$A$5:$A$404,C453,Clients!$B$5:$B$404,"Active")=0,"CLIENT NOT ACTIVE",IF(COUNTIF(Teams!$A$5:$A$104,D453)=0,"TEAM NOT FOUND","OK")))))</x:f>
      </x:c>
    </x:row>
    <x:row r="454">
      <x:c r="E454" s="102"/>
      <x:c r="G454" s="100" t="str">
        <x:f>IF(COUNTA(A454:F454)=0,"",IF(OR(A454="",B454="",C454="",D454=""),"COMPLETE ROW",IF(COUNTIF(Clients!$A$5:$A$404,C454)=0,"CLIENT NOT FOUND",IF(COUNTIFS(Clients!$A$5:$A$404,C454,Clients!$B$5:$B$404,"Active")=0,"CLIENT NOT ACTIVE",IF(COUNTIF(Teams!$A$5:$A$104,D454)=0,"TEAM NOT FOUND","OK")))))</x:f>
      </x:c>
    </x:row>
    <x:row r="455">
      <x:c r="E455" s="102"/>
      <x:c r="G455" s="100" t="str">
        <x:f>IF(COUNTA(A455:F455)=0,"",IF(OR(A455="",B455="",C455="",D455=""),"COMPLETE ROW",IF(COUNTIF(Clients!$A$5:$A$404,C455)=0,"CLIENT NOT FOUND",IF(COUNTIFS(Clients!$A$5:$A$404,C455,Clients!$B$5:$B$404,"Active")=0,"CLIENT NOT ACTIVE",IF(COUNTIF(Teams!$A$5:$A$104,D455)=0,"TEAM NOT FOUND","OK")))))</x:f>
      </x:c>
    </x:row>
    <x:row r="456">
      <x:c r="E456" s="102"/>
      <x:c r="G456" s="100" t="str">
        <x:f>IF(COUNTA(A456:F456)=0,"",IF(OR(A456="",B456="",C456="",D456=""),"COMPLETE ROW",IF(COUNTIF(Clients!$A$5:$A$404,C456)=0,"CLIENT NOT FOUND",IF(COUNTIFS(Clients!$A$5:$A$404,C456,Clients!$B$5:$B$404,"Active")=0,"CLIENT NOT ACTIVE",IF(COUNTIF(Teams!$A$5:$A$104,D456)=0,"TEAM NOT FOUND","OK")))))</x:f>
      </x:c>
    </x:row>
    <x:row r="457">
      <x:c r="E457" s="102"/>
      <x:c r="G457" s="100" t="str">
        <x:f>IF(COUNTA(A457:F457)=0,"",IF(OR(A457="",B457="",C457="",D457=""),"COMPLETE ROW",IF(COUNTIF(Clients!$A$5:$A$404,C457)=0,"CLIENT NOT FOUND",IF(COUNTIFS(Clients!$A$5:$A$404,C457,Clients!$B$5:$B$404,"Active")=0,"CLIENT NOT ACTIVE",IF(COUNTIF(Teams!$A$5:$A$104,D457)=0,"TEAM NOT FOUND","OK")))))</x:f>
      </x:c>
    </x:row>
    <x:row r="458">
      <x:c r="E458" s="102"/>
      <x:c r="G458" s="100" t="str">
        <x:f>IF(COUNTA(A458:F458)=0,"",IF(OR(A458="",B458="",C458="",D458=""),"COMPLETE ROW",IF(COUNTIF(Clients!$A$5:$A$404,C458)=0,"CLIENT NOT FOUND",IF(COUNTIFS(Clients!$A$5:$A$404,C458,Clients!$B$5:$B$404,"Active")=0,"CLIENT NOT ACTIVE",IF(COUNTIF(Teams!$A$5:$A$104,D458)=0,"TEAM NOT FOUND","OK")))))</x:f>
      </x:c>
    </x:row>
    <x:row r="459">
      <x:c r="E459" s="102"/>
      <x:c r="G459" s="100" t="str">
        <x:f>IF(COUNTA(A459:F459)=0,"",IF(OR(A459="",B459="",C459="",D459=""),"COMPLETE ROW",IF(COUNTIF(Clients!$A$5:$A$404,C459)=0,"CLIENT NOT FOUND",IF(COUNTIFS(Clients!$A$5:$A$404,C459,Clients!$B$5:$B$404,"Active")=0,"CLIENT NOT ACTIVE",IF(COUNTIF(Teams!$A$5:$A$104,D459)=0,"TEAM NOT FOUND","OK")))))</x:f>
      </x:c>
    </x:row>
    <x:row r="460">
      <x:c r="E460" s="102"/>
      <x:c r="G460" s="100" t="str">
        <x:f>IF(COUNTA(A460:F460)=0,"",IF(OR(A460="",B460="",C460="",D460=""),"COMPLETE ROW",IF(COUNTIF(Clients!$A$5:$A$404,C460)=0,"CLIENT NOT FOUND",IF(COUNTIFS(Clients!$A$5:$A$404,C460,Clients!$B$5:$B$404,"Active")=0,"CLIENT NOT ACTIVE",IF(COUNTIF(Teams!$A$5:$A$104,D460)=0,"TEAM NOT FOUND","OK")))))</x:f>
      </x:c>
    </x:row>
    <x:row r="461">
      <x:c r="E461" s="102"/>
      <x:c r="G461" s="100" t="str">
        <x:f>IF(COUNTA(A461:F461)=0,"",IF(OR(A461="",B461="",C461="",D461=""),"COMPLETE ROW",IF(COUNTIF(Clients!$A$5:$A$404,C461)=0,"CLIENT NOT FOUND",IF(COUNTIFS(Clients!$A$5:$A$404,C461,Clients!$B$5:$B$404,"Active")=0,"CLIENT NOT ACTIVE",IF(COUNTIF(Teams!$A$5:$A$104,D461)=0,"TEAM NOT FOUND","OK")))))</x:f>
      </x:c>
    </x:row>
    <x:row r="462">
      <x:c r="E462" s="102"/>
      <x:c r="G462" s="100" t="str">
        <x:f>IF(COUNTA(A462:F462)=0,"",IF(OR(A462="",B462="",C462="",D462=""),"COMPLETE ROW",IF(COUNTIF(Clients!$A$5:$A$404,C462)=0,"CLIENT NOT FOUND",IF(COUNTIFS(Clients!$A$5:$A$404,C462,Clients!$B$5:$B$404,"Active")=0,"CLIENT NOT ACTIVE",IF(COUNTIF(Teams!$A$5:$A$104,D462)=0,"TEAM NOT FOUND","OK")))))</x:f>
      </x:c>
    </x:row>
    <x:row r="463">
      <x:c r="E463" s="102"/>
      <x:c r="G463" s="100" t="str">
        <x:f>IF(COUNTA(A463:F463)=0,"",IF(OR(A463="",B463="",C463="",D463=""),"COMPLETE ROW",IF(COUNTIF(Clients!$A$5:$A$404,C463)=0,"CLIENT NOT FOUND",IF(COUNTIFS(Clients!$A$5:$A$404,C463,Clients!$B$5:$B$404,"Active")=0,"CLIENT NOT ACTIVE",IF(COUNTIF(Teams!$A$5:$A$104,D463)=0,"TEAM NOT FOUND","OK")))))</x:f>
      </x:c>
    </x:row>
    <x:row r="464">
      <x:c r="E464" s="102"/>
      <x:c r="G464" s="100" t="str">
        <x:f>IF(COUNTA(A464:F464)=0,"",IF(OR(A464="",B464="",C464="",D464=""),"COMPLETE ROW",IF(COUNTIF(Clients!$A$5:$A$404,C464)=0,"CLIENT NOT FOUND",IF(COUNTIFS(Clients!$A$5:$A$404,C464,Clients!$B$5:$B$404,"Active")=0,"CLIENT NOT ACTIVE",IF(COUNTIF(Teams!$A$5:$A$104,D464)=0,"TEAM NOT FOUND","OK")))))</x:f>
      </x:c>
    </x:row>
    <x:row r="465">
      <x:c r="E465" s="102"/>
      <x:c r="G465" s="100" t="str">
        <x:f>IF(COUNTA(A465:F465)=0,"",IF(OR(A465="",B465="",C465="",D465=""),"COMPLETE ROW",IF(COUNTIF(Clients!$A$5:$A$404,C465)=0,"CLIENT NOT FOUND",IF(COUNTIFS(Clients!$A$5:$A$404,C465,Clients!$B$5:$B$404,"Active")=0,"CLIENT NOT ACTIVE",IF(COUNTIF(Teams!$A$5:$A$104,D465)=0,"TEAM NOT FOUND","OK")))))</x:f>
      </x:c>
    </x:row>
    <x:row r="466">
      <x:c r="E466" s="102"/>
      <x:c r="G466" s="100" t="str">
        <x:f>IF(COUNTA(A466:F466)=0,"",IF(OR(A466="",B466="",C466="",D466=""),"COMPLETE ROW",IF(COUNTIF(Clients!$A$5:$A$404,C466)=0,"CLIENT NOT FOUND",IF(COUNTIFS(Clients!$A$5:$A$404,C466,Clients!$B$5:$B$404,"Active")=0,"CLIENT NOT ACTIVE",IF(COUNTIF(Teams!$A$5:$A$104,D466)=0,"TEAM NOT FOUND","OK")))))</x:f>
      </x:c>
    </x:row>
    <x:row r="467">
      <x:c r="E467" s="102"/>
      <x:c r="G467" s="100" t="str">
        <x:f>IF(COUNTA(A467:F467)=0,"",IF(OR(A467="",B467="",C467="",D467=""),"COMPLETE ROW",IF(COUNTIF(Clients!$A$5:$A$404,C467)=0,"CLIENT NOT FOUND",IF(COUNTIFS(Clients!$A$5:$A$404,C467,Clients!$B$5:$B$404,"Active")=0,"CLIENT NOT ACTIVE",IF(COUNTIF(Teams!$A$5:$A$104,D467)=0,"TEAM NOT FOUND","OK")))))</x:f>
      </x:c>
    </x:row>
    <x:row r="468">
      <x:c r="E468" s="102"/>
      <x:c r="G468" s="100" t="str">
        <x:f>IF(COUNTA(A468:F468)=0,"",IF(OR(A468="",B468="",C468="",D468=""),"COMPLETE ROW",IF(COUNTIF(Clients!$A$5:$A$404,C468)=0,"CLIENT NOT FOUND",IF(COUNTIFS(Clients!$A$5:$A$404,C468,Clients!$B$5:$B$404,"Active")=0,"CLIENT NOT ACTIVE",IF(COUNTIF(Teams!$A$5:$A$104,D468)=0,"TEAM NOT FOUND","OK")))))</x:f>
      </x:c>
    </x:row>
    <x:row r="469">
      <x:c r="E469" s="102"/>
      <x:c r="G469" s="100" t="str">
        <x:f>IF(COUNTA(A469:F469)=0,"",IF(OR(A469="",B469="",C469="",D469=""),"COMPLETE ROW",IF(COUNTIF(Clients!$A$5:$A$404,C469)=0,"CLIENT NOT FOUND",IF(COUNTIFS(Clients!$A$5:$A$404,C469,Clients!$B$5:$B$404,"Active")=0,"CLIENT NOT ACTIVE",IF(COUNTIF(Teams!$A$5:$A$104,D469)=0,"TEAM NOT FOUND","OK")))))</x:f>
      </x:c>
    </x:row>
    <x:row r="470">
      <x:c r="E470" s="102"/>
      <x:c r="G470" s="100" t="str">
        <x:f>IF(COUNTA(A470:F470)=0,"",IF(OR(A470="",B470="",C470="",D470=""),"COMPLETE ROW",IF(COUNTIF(Clients!$A$5:$A$404,C470)=0,"CLIENT NOT FOUND",IF(COUNTIFS(Clients!$A$5:$A$404,C470,Clients!$B$5:$B$404,"Active")=0,"CLIENT NOT ACTIVE",IF(COUNTIF(Teams!$A$5:$A$104,D470)=0,"TEAM NOT FOUND","OK")))))</x:f>
      </x:c>
    </x:row>
    <x:row r="471">
      <x:c r="E471" s="102"/>
      <x:c r="G471" s="100" t="str">
        <x:f>IF(COUNTA(A471:F471)=0,"",IF(OR(A471="",B471="",C471="",D471=""),"COMPLETE ROW",IF(COUNTIF(Clients!$A$5:$A$404,C471)=0,"CLIENT NOT FOUND",IF(COUNTIFS(Clients!$A$5:$A$404,C471,Clients!$B$5:$B$404,"Active")=0,"CLIENT NOT ACTIVE",IF(COUNTIF(Teams!$A$5:$A$104,D471)=0,"TEAM NOT FOUND","OK")))))</x:f>
      </x:c>
    </x:row>
    <x:row r="472">
      <x:c r="E472" s="102"/>
      <x:c r="G472" s="100" t="str">
        <x:f>IF(COUNTA(A472:F472)=0,"",IF(OR(A472="",B472="",C472="",D472=""),"COMPLETE ROW",IF(COUNTIF(Clients!$A$5:$A$404,C472)=0,"CLIENT NOT FOUND",IF(COUNTIFS(Clients!$A$5:$A$404,C472,Clients!$B$5:$B$404,"Active")=0,"CLIENT NOT ACTIVE",IF(COUNTIF(Teams!$A$5:$A$104,D472)=0,"TEAM NOT FOUND","OK")))))</x:f>
      </x:c>
    </x:row>
    <x:row r="473">
      <x:c r="E473" s="102"/>
      <x:c r="G473" s="100" t="str">
        <x:f>IF(COUNTA(A473:F473)=0,"",IF(OR(A473="",B473="",C473="",D473=""),"COMPLETE ROW",IF(COUNTIF(Clients!$A$5:$A$404,C473)=0,"CLIENT NOT FOUND",IF(COUNTIFS(Clients!$A$5:$A$404,C473,Clients!$B$5:$B$404,"Active")=0,"CLIENT NOT ACTIVE",IF(COUNTIF(Teams!$A$5:$A$104,D473)=0,"TEAM NOT FOUND","OK")))))</x:f>
      </x:c>
    </x:row>
    <x:row r="474">
      <x:c r="E474" s="102"/>
      <x:c r="G474" s="100" t="str">
        <x:f>IF(COUNTA(A474:F474)=0,"",IF(OR(A474="",B474="",C474="",D474=""),"COMPLETE ROW",IF(COUNTIF(Clients!$A$5:$A$404,C474)=0,"CLIENT NOT FOUND",IF(COUNTIFS(Clients!$A$5:$A$404,C474,Clients!$B$5:$B$404,"Active")=0,"CLIENT NOT ACTIVE",IF(COUNTIF(Teams!$A$5:$A$104,D474)=0,"TEAM NOT FOUND","OK")))))</x:f>
      </x:c>
    </x:row>
    <x:row r="475">
      <x:c r="E475" s="102"/>
      <x:c r="G475" s="100" t="str">
        <x:f>IF(COUNTA(A475:F475)=0,"",IF(OR(A475="",B475="",C475="",D475=""),"COMPLETE ROW",IF(COUNTIF(Clients!$A$5:$A$404,C475)=0,"CLIENT NOT FOUND",IF(COUNTIFS(Clients!$A$5:$A$404,C475,Clients!$B$5:$B$404,"Active")=0,"CLIENT NOT ACTIVE",IF(COUNTIF(Teams!$A$5:$A$104,D475)=0,"TEAM NOT FOUND","OK")))))</x:f>
      </x:c>
    </x:row>
    <x:row r="476">
      <x:c r="E476" s="102"/>
      <x:c r="G476" s="100" t="str">
        <x:f>IF(COUNTA(A476:F476)=0,"",IF(OR(A476="",B476="",C476="",D476=""),"COMPLETE ROW",IF(COUNTIF(Clients!$A$5:$A$404,C476)=0,"CLIENT NOT FOUND",IF(COUNTIFS(Clients!$A$5:$A$404,C476,Clients!$B$5:$B$404,"Active")=0,"CLIENT NOT ACTIVE",IF(COUNTIF(Teams!$A$5:$A$104,D476)=0,"TEAM NOT FOUND","OK")))))</x:f>
      </x:c>
    </x:row>
    <x:row r="477">
      <x:c r="E477" s="102"/>
      <x:c r="G477" s="100" t="str">
        <x:f>IF(COUNTA(A477:F477)=0,"",IF(OR(A477="",B477="",C477="",D477=""),"COMPLETE ROW",IF(COUNTIF(Clients!$A$5:$A$404,C477)=0,"CLIENT NOT FOUND",IF(COUNTIFS(Clients!$A$5:$A$404,C477,Clients!$B$5:$B$404,"Active")=0,"CLIENT NOT ACTIVE",IF(COUNTIF(Teams!$A$5:$A$104,D477)=0,"TEAM NOT FOUND","OK")))))</x:f>
      </x:c>
    </x:row>
    <x:row r="478">
      <x:c r="E478" s="102"/>
      <x:c r="G478" s="100" t="str">
        <x:f>IF(COUNTA(A478:F478)=0,"",IF(OR(A478="",B478="",C478="",D478=""),"COMPLETE ROW",IF(COUNTIF(Clients!$A$5:$A$404,C478)=0,"CLIENT NOT FOUND",IF(COUNTIFS(Clients!$A$5:$A$404,C478,Clients!$B$5:$B$404,"Active")=0,"CLIENT NOT ACTIVE",IF(COUNTIF(Teams!$A$5:$A$104,D478)=0,"TEAM NOT FOUND","OK")))))</x:f>
      </x:c>
    </x:row>
    <x:row r="479">
      <x:c r="E479" s="102"/>
      <x:c r="G479" s="100" t="str">
        <x:f>IF(COUNTA(A479:F479)=0,"",IF(OR(A479="",B479="",C479="",D479=""),"COMPLETE ROW",IF(COUNTIF(Clients!$A$5:$A$404,C479)=0,"CLIENT NOT FOUND",IF(COUNTIFS(Clients!$A$5:$A$404,C479,Clients!$B$5:$B$404,"Active")=0,"CLIENT NOT ACTIVE",IF(COUNTIF(Teams!$A$5:$A$104,D479)=0,"TEAM NOT FOUND","OK")))))</x:f>
      </x:c>
    </x:row>
    <x:row r="480">
      <x:c r="E480" s="102"/>
      <x:c r="G480" s="100" t="str">
        <x:f>IF(COUNTA(A480:F480)=0,"",IF(OR(A480="",B480="",C480="",D480=""),"COMPLETE ROW",IF(COUNTIF(Clients!$A$5:$A$404,C480)=0,"CLIENT NOT FOUND",IF(COUNTIFS(Clients!$A$5:$A$404,C480,Clients!$B$5:$B$404,"Active")=0,"CLIENT NOT ACTIVE",IF(COUNTIF(Teams!$A$5:$A$104,D480)=0,"TEAM NOT FOUND","OK")))))</x:f>
      </x:c>
    </x:row>
    <x:row r="481">
      <x:c r="E481" s="102"/>
      <x:c r="G481" s="100" t="str">
        <x:f>IF(COUNTA(A481:F481)=0,"",IF(OR(A481="",B481="",C481="",D481=""),"COMPLETE ROW",IF(COUNTIF(Clients!$A$5:$A$404,C481)=0,"CLIENT NOT FOUND",IF(COUNTIFS(Clients!$A$5:$A$404,C481,Clients!$B$5:$B$404,"Active")=0,"CLIENT NOT ACTIVE",IF(COUNTIF(Teams!$A$5:$A$104,D481)=0,"TEAM NOT FOUND","OK")))))</x:f>
      </x:c>
    </x:row>
    <x:row r="482">
      <x:c r="E482" s="102"/>
      <x:c r="G482" s="100" t="str">
        <x:f>IF(COUNTA(A482:F482)=0,"",IF(OR(A482="",B482="",C482="",D482=""),"COMPLETE ROW",IF(COUNTIF(Clients!$A$5:$A$404,C482)=0,"CLIENT NOT FOUND",IF(COUNTIFS(Clients!$A$5:$A$404,C482,Clients!$B$5:$B$404,"Active")=0,"CLIENT NOT ACTIVE",IF(COUNTIF(Teams!$A$5:$A$104,D482)=0,"TEAM NOT FOUND","OK")))))</x:f>
      </x:c>
    </x:row>
    <x:row r="483">
      <x:c r="E483" s="102"/>
      <x:c r="G483" s="100" t="str">
        <x:f>IF(COUNTA(A483:F483)=0,"",IF(OR(A483="",B483="",C483="",D483=""),"COMPLETE ROW",IF(COUNTIF(Clients!$A$5:$A$404,C483)=0,"CLIENT NOT FOUND",IF(COUNTIFS(Clients!$A$5:$A$404,C483,Clients!$B$5:$B$404,"Active")=0,"CLIENT NOT ACTIVE",IF(COUNTIF(Teams!$A$5:$A$104,D483)=0,"TEAM NOT FOUND","OK")))))</x:f>
      </x:c>
    </x:row>
    <x:row r="484">
      <x:c r="E484" s="102"/>
      <x:c r="G484" s="100" t="str">
        <x:f>IF(COUNTA(A484:F484)=0,"",IF(OR(A484="",B484="",C484="",D484=""),"COMPLETE ROW",IF(COUNTIF(Clients!$A$5:$A$404,C484)=0,"CLIENT NOT FOUND",IF(COUNTIFS(Clients!$A$5:$A$404,C484,Clients!$B$5:$B$404,"Active")=0,"CLIENT NOT ACTIVE",IF(COUNTIF(Teams!$A$5:$A$104,D484)=0,"TEAM NOT FOUND","OK")))))</x:f>
      </x:c>
    </x:row>
    <x:row r="485">
      <x:c r="E485" s="102"/>
      <x:c r="G485" s="100" t="str">
        <x:f>IF(COUNTA(A485:F485)=0,"",IF(OR(A485="",B485="",C485="",D485=""),"COMPLETE ROW",IF(COUNTIF(Clients!$A$5:$A$404,C485)=0,"CLIENT NOT FOUND",IF(COUNTIFS(Clients!$A$5:$A$404,C485,Clients!$B$5:$B$404,"Active")=0,"CLIENT NOT ACTIVE",IF(COUNTIF(Teams!$A$5:$A$104,D485)=0,"TEAM NOT FOUND","OK")))))</x:f>
      </x:c>
    </x:row>
    <x:row r="486">
      <x:c r="E486" s="102"/>
      <x:c r="G486" s="100" t="str">
        <x:f>IF(COUNTA(A486:F486)=0,"",IF(OR(A486="",B486="",C486="",D486=""),"COMPLETE ROW",IF(COUNTIF(Clients!$A$5:$A$404,C486)=0,"CLIENT NOT FOUND",IF(COUNTIFS(Clients!$A$5:$A$404,C486,Clients!$B$5:$B$404,"Active")=0,"CLIENT NOT ACTIVE",IF(COUNTIF(Teams!$A$5:$A$104,D486)=0,"TEAM NOT FOUND","OK")))))</x:f>
      </x:c>
    </x:row>
    <x:row r="487">
      <x:c r="E487" s="102"/>
      <x:c r="G487" s="100" t="str">
        <x:f>IF(COUNTA(A487:F487)=0,"",IF(OR(A487="",B487="",C487="",D487=""),"COMPLETE ROW",IF(COUNTIF(Clients!$A$5:$A$404,C487)=0,"CLIENT NOT FOUND",IF(COUNTIFS(Clients!$A$5:$A$404,C487,Clients!$B$5:$B$404,"Active")=0,"CLIENT NOT ACTIVE",IF(COUNTIF(Teams!$A$5:$A$104,D487)=0,"TEAM NOT FOUND","OK")))))</x:f>
      </x:c>
    </x:row>
    <x:row r="488">
      <x:c r="E488" s="102"/>
      <x:c r="G488" s="100" t="str">
        <x:f>IF(COUNTA(A488:F488)=0,"",IF(OR(A488="",B488="",C488="",D488=""),"COMPLETE ROW",IF(COUNTIF(Clients!$A$5:$A$404,C488)=0,"CLIENT NOT FOUND",IF(COUNTIFS(Clients!$A$5:$A$404,C488,Clients!$B$5:$B$404,"Active")=0,"CLIENT NOT ACTIVE",IF(COUNTIF(Teams!$A$5:$A$104,D488)=0,"TEAM NOT FOUND","OK")))))</x:f>
      </x:c>
    </x:row>
    <x:row r="489">
      <x:c r="E489" s="102"/>
      <x:c r="G489" s="100" t="str">
        <x:f>IF(COUNTA(A489:F489)=0,"",IF(OR(A489="",B489="",C489="",D489=""),"COMPLETE ROW",IF(COUNTIF(Clients!$A$5:$A$404,C489)=0,"CLIENT NOT FOUND",IF(COUNTIFS(Clients!$A$5:$A$404,C489,Clients!$B$5:$B$404,"Active")=0,"CLIENT NOT ACTIVE",IF(COUNTIF(Teams!$A$5:$A$104,D489)=0,"TEAM NOT FOUND","OK")))))</x:f>
      </x:c>
    </x:row>
    <x:row r="490">
      <x:c r="E490" s="102"/>
      <x:c r="G490" s="100" t="str">
        <x:f>IF(COUNTA(A490:F490)=0,"",IF(OR(A490="",B490="",C490="",D490=""),"COMPLETE ROW",IF(COUNTIF(Clients!$A$5:$A$404,C490)=0,"CLIENT NOT FOUND",IF(COUNTIFS(Clients!$A$5:$A$404,C490,Clients!$B$5:$B$404,"Active")=0,"CLIENT NOT ACTIVE",IF(COUNTIF(Teams!$A$5:$A$104,D490)=0,"TEAM NOT FOUND","OK")))))</x:f>
      </x:c>
    </x:row>
    <x:row r="491">
      <x:c r="E491" s="102"/>
      <x:c r="G491" s="100" t="str">
        <x:f>IF(COUNTA(A491:F491)=0,"",IF(OR(A491="",B491="",C491="",D491=""),"COMPLETE ROW",IF(COUNTIF(Clients!$A$5:$A$404,C491)=0,"CLIENT NOT FOUND",IF(COUNTIFS(Clients!$A$5:$A$404,C491,Clients!$B$5:$B$404,"Active")=0,"CLIENT NOT ACTIVE",IF(COUNTIF(Teams!$A$5:$A$104,D491)=0,"TEAM NOT FOUND","OK")))))</x:f>
      </x:c>
    </x:row>
    <x:row r="492">
      <x:c r="E492" s="102"/>
      <x:c r="G492" s="100" t="str">
        <x:f>IF(COUNTA(A492:F492)=0,"",IF(OR(A492="",B492="",C492="",D492=""),"COMPLETE ROW",IF(COUNTIF(Clients!$A$5:$A$404,C492)=0,"CLIENT NOT FOUND",IF(COUNTIFS(Clients!$A$5:$A$404,C492,Clients!$B$5:$B$404,"Active")=0,"CLIENT NOT ACTIVE",IF(COUNTIF(Teams!$A$5:$A$104,D492)=0,"TEAM NOT FOUND","OK")))))</x:f>
      </x:c>
    </x:row>
    <x:row r="493">
      <x:c r="E493" s="102"/>
      <x:c r="G493" s="100" t="str">
        <x:f>IF(COUNTA(A493:F493)=0,"",IF(OR(A493="",B493="",C493="",D493=""),"COMPLETE ROW",IF(COUNTIF(Clients!$A$5:$A$404,C493)=0,"CLIENT NOT FOUND",IF(COUNTIFS(Clients!$A$5:$A$404,C493,Clients!$B$5:$B$404,"Active")=0,"CLIENT NOT ACTIVE",IF(COUNTIF(Teams!$A$5:$A$104,D493)=0,"TEAM NOT FOUND","OK")))))</x:f>
      </x:c>
    </x:row>
    <x:row r="494">
      <x:c r="E494" s="102"/>
      <x:c r="G494" s="100" t="str">
        <x:f>IF(COUNTA(A494:F494)=0,"",IF(OR(A494="",B494="",C494="",D494=""),"COMPLETE ROW",IF(COUNTIF(Clients!$A$5:$A$404,C494)=0,"CLIENT NOT FOUND",IF(COUNTIFS(Clients!$A$5:$A$404,C494,Clients!$B$5:$B$404,"Active")=0,"CLIENT NOT ACTIVE",IF(COUNTIF(Teams!$A$5:$A$104,D494)=0,"TEAM NOT FOUND","OK")))))</x:f>
      </x:c>
    </x:row>
    <x:row r="495">
      <x:c r="E495" s="102"/>
      <x:c r="G495" s="100" t="str">
        <x:f>IF(COUNTA(A495:F495)=0,"",IF(OR(A495="",B495="",C495="",D495=""),"COMPLETE ROW",IF(COUNTIF(Clients!$A$5:$A$404,C495)=0,"CLIENT NOT FOUND",IF(COUNTIFS(Clients!$A$5:$A$404,C495,Clients!$B$5:$B$404,"Active")=0,"CLIENT NOT ACTIVE",IF(COUNTIF(Teams!$A$5:$A$104,D495)=0,"TEAM NOT FOUND","OK")))))</x:f>
      </x:c>
    </x:row>
    <x:row r="496">
      <x:c r="E496" s="102"/>
      <x:c r="G496" s="100" t="str">
        <x:f>IF(COUNTA(A496:F496)=0,"",IF(OR(A496="",B496="",C496="",D496=""),"COMPLETE ROW",IF(COUNTIF(Clients!$A$5:$A$404,C496)=0,"CLIENT NOT FOUND",IF(COUNTIFS(Clients!$A$5:$A$404,C496,Clients!$B$5:$B$404,"Active")=0,"CLIENT NOT ACTIVE",IF(COUNTIF(Teams!$A$5:$A$104,D496)=0,"TEAM NOT FOUND","OK")))))</x:f>
      </x:c>
    </x:row>
    <x:row r="497">
      <x:c r="E497" s="102"/>
      <x:c r="G497" s="100" t="str">
        <x:f>IF(COUNTA(A497:F497)=0,"",IF(OR(A497="",B497="",C497="",D497=""),"COMPLETE ROW",IF(COUNTIF(Clients!$A$5:$A$404,C497)=0,"CLIENT NOT FOUND",IF(COUNTIFS(Clients!$A$5:$A$404,C497,Clients!$B$5:$B$404,"Active")=0,"CLIENT NOT ACTIVE",IF(COUNTIF(Teams!$A$5:$A$104,D497)=0,"TEAM NOT FOUND","OK")))))</x:f>
      </x:c>
    </x:row>
    <x:row r="498">
      <x:c r="E498" s="102"/>
      <x:c r="G498" s="100" t="str">
        <x:f>IF(COUNTA(A498:F498)=0,"",IF(OR(A498="",B498="",C498="",D498=""),"COMPLETE ROW",IF(COUNTIF(Clients!$A$5:$A$404,C498)=0,"CLIENT NOT FOUND",IF(COUNTIFS(Clients!$A$5:$A$404,C498,Clients!$B$5:$B$404,"Active")=0,"CLIENT NOT ACTIVE",IF(COUNTIF(Teams!$A$5:$A$104,D498)=0,"TEAM NOT FOUND","OK")))))</x:f>
      </x:c>
    </x:row>
    <x:row r="499">
      <x:c r="E499" s="102"/>
      <x:c r="G499" s="100" t="str">
        <x:f>IF(COUNTA(A499:F499)=0,"",IF(OR(A499="",B499="",C499="",D499=""),"COMPLETE ROW",IF(COUNTIF(Clients!$A$5:$A$404,C499)=0,"CLIENT NOT FOUND",IF(COUNTIFS(Clients!$A$5:$A$404,C499,Clients!$B$5:$B$404,"Active")=0,"CLIENT NOT ACTIVE",IF(COUNTIF(Teams!$A$5:$A$104,D499)=0,"TEAM NOT FOUND","OK")))))</x:f>
      </x:c>
    </x:row>
    <x:row r="500">
      <x:c r="E500" s="102"/>
      <x:c r="G500" s="100" t="str">
        <x:f>IF(COUNTA(A500:F500)=0,"",IF(OR(A500="",B500="",C500="",D500=""),"COMPLETE ROW",IF(COUNTIF(Clients!$A$5:$A$404,C500)=0,"CLIENT NOT FOUND",IF(COUNTIFS(Clients!$A$5:$A$404,C500,Clients!$B$5:$B$404,"Active")=0,"CLIENT NOT ACTIVE",IF(COUNTIF(Teams!$A$5:$A$104,D500)=0,"TEAM NOT FOUND","OK")))))</x:f>
      </x:c>
    </x:row>
    <x:row r="501">
      <x:c r="E501" s="102"/>
      <x:c r="G501" s="100" t="str">
        <x:f>IF(COUNTA(A501:F501)=0,"",IF(OR(A501="",B501="",C501="",D501=""),"COMPLETE ROW",IF(COUNTIF(Clients!$A$5:$A$404,C501)=0,"CLIENT NOT FOUND",IF(COUNTIFS(Clients!$A$5:$A$404,C501,Clients!$B$5:$B$404,"Active")=0,"CLIENT NOT ACTIVE",IF(COUNTIF(Teams!$A$5:$A$104,D501)=0,"TEAM NOT FOUND","OK")))))</x:f>
      </x:c>
    </x:row>
    <x:row r="502">
      <x:c r="E502" s="102"/>
      <x:c r="G502" s="100" t="str">
        <x:f>IF(COUNTA(A502:F502)=0,"",IF(OR(A502="",B502="",C502="",D502=""),"COMPLETE ROW",IF(COUNTIF(Clients!$A$5:$A$404,C502)=0,"CLIENT NOT FOUND",IF(COUNTIFS(Clients!$A$5:$A$404,C502,Clients!$B$5:$B$404,"Active")=0,"CLIENT NOT ACTIVE",IF(COUNTIF(Teams!$A$5:$A$104,D502)=0,"TEAM NOT FOUND","OK")))))</x:f>
      </x:c>
    </x:row>
    <x:row r="503">
      <x:c r="E503" s="102"/>
      <x:c r="G503" s="100" t="str">
        <x:f>IF(COUNTA(A503:F503)=0,"",IF(OR(A503="",B503="",C503="",D503=""),"COMPLETE ROW",IF(COUNTIF(Clients!$A$5:$A$404,C503)=0,"CLIENT NOT FOUND",IF(COUNTIFS(Clients!$A$5:$A$404,C503,Clients!$B$5:$B$404,"Active")=0,"CLIENT NOT ACTIVE",IF(COUNTIF(Teams!$A$5:$A$104,D503)=0,"TEAM NOT FOUND","OK")))))</x:f>
      </x:c>
    </x:row>
    <x:row r="504">
      <x:c r="E504" s="102"/>
      <x:c r="G504" s="100" t="str">
        <x:f>IF(COUNTA(A504:F504)=0,"",IF(OR(A504="",B504="",C504="",D504=""),"COMPLETE ROW",IF(COUNTIF(Clients!$A$5:$A$404,C504)=0,"CLIENT NOT FOUND",IF(COUNTIFS(Clients!$A$5:$A$404,C504,Clients!$B$5:$B$404,"Active")=0,"CLIENT NOT ACTIVE",IF(COUNTIF(Teams!$A$5:$A$104,D504)=0,"TEAM NOT FOUND","OK")))))</x:f>
      </x:c>
    </x:row>
    <x:row r="505">
      <x:c r="E505" s="102"/>
      <x:c r="G505" s="100" t="str">
        <x:f>IF(COUNTA(A505:F505)=0,"",IF(OR(A505="",B505="",C505="",D505=""),"COMPLETE ROW",IF(COUNTIF(Clients!$A$5:$A$404,C505)=0,"CLIENT NOT FOUND",IF(COUNTIFS(Clients!$A$5:$A$404,C505,Clients!$B$5:$B$404,"Active")=0,"CLIENT NOT ACTIVE",IF(COUNTIF(Teams!$A$5:$A$104,D505)=0,"TEAM NOT FOUND","OK")))))</x:f>
      </x:c>
    </x:row>
    <x:row r="506">
      <x:c r="E506" s="102"/>
      <x:c r="G506" s="100" t="str">
        <x:f>IF(COUNTA(A506:F506)=0,"",IF(OR(A506="",B506="",C506="",D506=""),"COMPLETE ROW",IF(COUNTIF(Clients!$A$5:$A$404,C506)=0,"CLIENT NOT FOUND",IF(COUNTIFS(Clients!$A$5:$A$404,C506,Clients!$B$5:$B$404,"Active")=0,"CLIENT NOT ACTIVE",IF(COUNTIF(Teams!$A$5:$A$104,D506)=0,"TEAM NOT FOUND","OK")))))</x:f>
      </x:c>
    </x:row>
    <x:row r="507">
      <x:c r="E507" s="102"/>
      <x:c r="G507" s="100" t="str">
        <x:f>IF(COUNTA(A507:F507)=0,"",IF(OR(A507="",B507="",C507="",D507=""),"COMPLETE ROW",IF(COUNTIF(Clients!$A$5:$A$404,C507)=0,"CLIENT NOT FOUND",IF(COUNTIFS(Clients!$A$5:$A$404,C507,Clients!$B$5:$B$404,"Active")=0,"CLIENT NOT ACTIVE",IF(COUNTIF(Teams!$A$5:$A$104,D507)=0,"TEAM NOT FOUND","OK")))))</x:f>
      </x:c>
    </x:row>
    <x:row r="508">
      <x:c r="E508" s="102"/>
      <x:c r="G508" s="100" t="str">
        <x:f>IF(COUNTA(A508:F508)=0,"",IF(OR(A508="",B508="",C508="",D508=""),"COMPLETE ROW",IF(COUNTIF(Clients!$A$5:$A$404,C508)=0,"CLIENT NOT FOUND",IF(COUNTIFS(Clients!$A$5:$A$404,C508,Clients!$B$5:$B$404,"Active")=0,"CLIENT NOT ACTIVE",IF(COUNTIF(Teams!$A$5:$A$104,D508)=0,"TEAM NOT FOUND","OK")))))</x:f>
      </x:c>
    </x:row>
    <x:row r="509">
      <x:c r="E509" s="102"/>
      <x:c r="G509" s="100" t="str">
        <x:f>IF(COUNTA(A509:F509)=0,"",IF(OR(A509="",B509="",C509="",D509=""),"COMPLETE ROW",IF(COUNTIF(Clients!$A$5:$A$404,C509)=0,"CLIENT NOT FOUND",IF(COUNTIFS(Clients!$A$5:$A$404,C509,Clients!$B$5:$B$404,"Active")=0,"CLIENT NOT ACTIVE",IF(COUNTIF(Teams!$A$5:$A$104,D509)=0,"TEAM NOT FOUND","OK")))))</x:f>
      </x:c>
    </x:row>
    <x:row r="510">
      <x:c r="E510" s="102"/>
      <x:c r="G510" s="100" t="str">
        <x:f>IF(COUNTA(A510:F510)=0,"",IF(OR(A510="",B510="",C510="",D510=""),"COMPLETE ROW",IF(COUNTIF(Clients!$A$5:$A$404,C510)=0,"CLIENT NOT FOUND",IF(COUNTIFS(Clients!$A$5:$A$404,C510,Clients!$B$5:$B$404,"Active")=0,"CLIENT NOT ACTIVE",IF(COUNTIF(Teams!$A$5:$A$104,D510)=0,"TEAM NOT FOUND","OK")))))</x:f>
      </x:c>
    </x:row>
    <x:row r="511">
      <x:c r="E511" s="102"/>
      <x:c r="G511" s="100" t="str">
        <x:f>IF(COUNTA(A511:F511)=0,"",IF(OR(A511="",B511="",C511="",D511=""),"COMPLETE ROW",IF(COUNTIF(Clients!$A$5:$A$404,C511)=0,"CLIENT NOT FOUND",IF(COUNTIFS(Clients!$A$5:$A$404,C511,Clients!$B$5:$B$404,"Active")=0,"CLIENT NOT ACTIVE",IF(COUNTIF(Teams!$A$5:$A$104,D511)=0,"TEAM NOT FOUND","OK")))))</x:f>
      </x:c>
    </x:row>
    <x:row r="512">
      <x:c r="E512" s="102"/>
      <x:c r="G512" s="100" t="str">
        <x:f>IF(COUNTA(A512:F512)=0,"",IF(OR(A512="",B512="",C512="",D512=""),"COMPLETE ROW",IF(COUNTIF(Clients!$A$5:$A$404,C512)=0,"CLIENT NOT FOUND",IF(COUNTIFS(Clients!$A$5:$A$404,C512,Clients!$B$5:$B$404,"Active")=0,"CLIENT NOT ACTIVE",IF(COUNTIF(Teams!$A$5:$A$104,D512)=0,"TEAM NOT FOUND","OK")))))</x:f>
      </x:c>
    </x:row>
    <x:row r="513">
      <x:c r="E513" s="102"/>
      <x:c r="G513" s="100" t="str">
        <x:f>IF(COUNTA(A513:F513)=0,"",IF(OR(A513="",B513="",C513="",D513=""),"COMPLETE ROW",IF(COUNTIF(Clients!$A$5:$A$404,C513)=0,"CLIENT NOT FOUND",IF(COUNTIFS(Clients!$A$5:$A$404,C513,Clients!$B$5:$B$404,"Active")=0,"CLIENT NOT ACTIVE",IF(COUNTIF(Teams!$A$5:$A$104,D513)=0,"TEAM NOT FOUND","OK")))))</x:f>
      </x:c>
    </x:row>
    <x:row r="514">
      <x:c r="E514" s="102"/>
      <x:c r="G514" s="100" t="str">
        <x:f>IF(COUNTA(A514:F514)=0,"",IF(OR(A514="",B514="",C514="",D514=""),"COMPLETE ROW",IF(COUNTIF(Clients!$A$5:$A$404,C514)=0,"CLIENT NOT FOUND",IF(COUNTIFS(Clients!$A$5:$A$404,C514,Clients!$B$5:$B$404,"Active")=0,"CLIENT NOT ACTIVE",IF(COUNTIF(Teams!$A$5:$A$104,D514)=0,"TEAM NOT FOUND","OK")))))</x:f>
      </x:c>
    </x:row>
    <x:row r="515">
      <x:c r="E515" s="102"/>
      <x:c r="G515" s="100" t="str">
        <x:f>IF(COUNTA(A515:F515)=0,"",IF(OR(A515="",B515="",C515="",D515=""),"COMPLETE ROW",IF(COUNTIF(Clients!$A$5:$A$404,C515)=0,"CLIENT NOT FOUND",IF(COUNTIFS(Clients!$A$5:$A$404,C515,Clients!$B$5:$B$404,"Active")=0,"CLIENT NOT ACTIVE",IF(COUNTIF(Teams!$A$5:$A$104,D515)=0,"TEAM NOT FOUND","OK")))))</x:f>
      </x:c>
    </x:row>
    <x:row r="516">
      <x:c r="E516" s="102"/>
      <x:c r="G516" s="100" t="str">
        <x:f>IF(COUNTA(A516:F516)=0,"",IF(OR(A516="",B516="",C516="",D516=""),"COMPLETE ROW",IF(COUNTIF(Clients!$A$5:$A$404,C516)=0,"CLIENT NOT FOUND",IF(COUNTIFS(Clients!$A$5:$A$404,C516,Clients!$B$5:$B$404,"Active")=0,"CLIENT NOT ACTIVE",IF(COUNTIF(Teams!$A$5:$A$104,D516)=0,"TEAM NOT FOUND","OK")))))</x:f>
      </x:c>
    </x:row>
    <x:row r="517">
      <x:c r="E517" s="102"/>
      <x:c r="G517" s="100" t="str">
        <x:f>IF(COUNTA(A517:F517)=0,"",IF(OR(A517="",B517="",C517="",D517=""),"COMPLETE ROW",IF(COUNTIF(Clients!$A$5:$A$404,C517)=0,"CLIENT NOT FOUND",IF(COUNTIFS(Clients!$A$5:$A$404,C517,Clients!$B$5:$B$404,"Active")=0,"CLIENT NOT ACTIVE",IF(COUNTIF(Teams!$A$5:$A$104,D517)=0,"TEAM NOT FOUND","OK")))))</x:f>
      </x:c>
    </x:row>
    <x:row r="518">
      <x:c r="E518" s="102"/>
      <x:c r="G518" s="100" t="str">
        <x:f>IF(COUNTA(A518:F518)=0,"",IF(OR(A518="",B518="",C518="",D518=""),"COMPLETE ROW",IF(COUNTIF(Clients!$A$5:$A$404,C518)=0,"CLIENT NOT FOUND",IF(COUNTIFS(Clients!$A$5:$A$404,C518,Clients!$B$5:$B$404,"Active")=0,"CLIENT NOT ACTIVE",IF(COUNTIF(Teams!$A$5:$A$104,D518)=0,"TEAM NOT FOUND","OK")))))</x:f>
      </x:c>
    </x:row>
    <x:row r="519">
      <x:c r="E519" s="102"/>
      <x:c r="G519" s="100" t="str">
        <x:f>IF(COUNTA(A519:F519)=0,"",IF(OR(A519="",B519="",C519="",D519=""),"COMPLETE ROW",IF(COUNTIF(Clients!$A$5:$A$404,C519)=0,"CLIENT NOT FOUND",IF(COUNTIFS(Clients!$A$5:$A$404,C519,Clients!$B$5:$B$404,"Active")=0,"CLIENT NOT ACTIVE",IF(COUNTIF(Teams!$A$5:$A$104,D519)=0,"TEAM NOT FOUND","OK")))))</x:f>
      </x:c>
    </x:row>
    <x:row r="520">
      <x:c r="E520" s="102"/>
      <x:c r="G520" s="100" t="str">
        <x:f>IF(COUNTA(A520:F520)=0,"",IF(OR(A520="",B520="",C520="",D520=""),"COMPLETE ROW",IF(COUNTIF(Clients!$A$5:$A$404,C520)=0,"CLIENT NOT FOUND",IF(COUNTIFS(Clients!$A$5:$A$404,C520,Clients!$B$5:$B$404,"Active")=0,"CLIENT NOT ACTIVE",IF(COUNTIF(Teams!$A$5:$A$104,D520)=0,"TEAM NOT FOUND","OK")))))</x:f>
      </x:c>
    </x:row>
    <x:row r="521">
      <x:c r="E521" s="102"/>
      <x:c r="G521" s="100" t="str">
        <x:f>IF(COUNTA(A521:F521)=0,"",IF(OR(A521="",B521="",C521="",D521=""),"COMPLETE ROW",IF(COUNTIF(Clients!$A$5:$A$404,C521)=0,"CLIENT NOT FOUND",IF(COUNTIFS(Clients!$A$5:$A$404,C521,Clients!$B$5:$B$404,"Active")=0,"CLIENT NOT ACTIVE",IF(COUNTIF(Teams!$A$5:$A$104,D521)=0,"TEAM NOT FOUND","OK")))))</x:f>
      </x:c>
    </x:row>
    <x:row r="522">
      <x:c r="E522" s="102"/>
      <x:c r="G522" s="100" t="str">
        <x:f>IF(COUNTA(A522:F522)=0,"",IF(OR(A522="",B522="",C522="",D522=""),"COMPLETE ROW",IF(COUNTIF(Clients!$A$5:$A$404,C522)=0,"CLIENT NOT FOUND",IF(COUNTIFS(Clients!$A$5:$A$404,C522,Clients!$B$5:$B$404,"Active")=0,"CLIENT NOT ACTIVE",IF(COUNTIF(Teams!$A$5:$A$104,D522)=0,"TEAM NOT FOUND","OK")))))</x:f>
      </x:c>
    </x:row>
    <x:row r="523">
      <x:c r="E523" s="102"/>
      <x:c r="G523" s="100" t="str">
        <x:f>IF(COUNTA(A523:F523)=0,"",IF(OR(A523="",B523="",C523="",D523=""),"COMPLETE ROW",IF(COUNTIF(Clients!$A$5:$A$404,C523)=0,"CLIENT NOT FOUND",IF(COUNTIFS(Clients!$A$5:$A$404,C523,Clients!$B$5:$B$404,"Active")=0,"CLIENT NOT ACTIVE",IF(COUNTIF(Teams!$A$5:$A$104,D523)=0,"TEAM NOT FOUND","OK")))))</x:f>
      </x:c>
    </x:row>
    <x:row r="524">
      <x:c r="E524" s="102"/>
      <x:c r="G524" s="100" t="str">
        <x:f>IF(COUNTA(A524:F524)=0,"",IF(OR(A524="",B524="",C524="",D524=""),"COMPLETE ROW",IF(COUNTIF(Clients!$A$5:$A$404,C524)=0,"CLIENT NOT FOUND",IF(COUNTIFS(Clients!$A$5:$A$404,C524,Clients!$B$5:$B$404,"Active")=0,"CLIENT NOT ACTIVE",IF(COUNTIF(Teams!$A$5:$A$104,D524)=0,"TEAM NOT FOUND","OK")))))</x:f>
      </x:c>
    </x:row>
    <x:row r="525">
      <x:c r="E525" s="102"/>
      <x:c r="G525" s="100" t="str">
        <x:f>IF(COUNTA(A525:F525)=0,"",IF(OR(A525="",B525="",C525="",D525=""),"COMPLETE ROW",IF(COUNTIF(Clients!$A$5:$A$404,C525)=0,"CLIENT NOT FOUND",IF(COUNTIFS(Clients!$A$5:$A$404,C525,Clients!$B$5:$B$404,"Active")=0,"CLIENT NOT ACTIVE",IF(COUNTIF(Teams!$A$5:$A$104,D525)=0,"TEAM NOT FOUND","OK")))))</x:f>
      </x:c>
    </x:row>
    <x:row r="526">
      <x:c r="E526" s="102"/>
      <x:c r="G526" s="100" t="str">
        <x:f>IF(COUNTA(A526:F526)=0,"",IF(OR(A526="",B526="",C526="",D526=""),"COMPLETE ROW",IF(COUNTIF(Clients!$A$5:$A$404,C526)=0,"CLIENT NOT FOUND",IF(COUNTIFS(Clients!$A$5:$A$404,C526,Clients!$B$5:$B$404,"Active")=0,"CLIENT NOT ACTIVE",IF(COUNTIF(Teams!$A$5:$A$104,D526)=0,"TEAM NOT FOUND","OK")))))</x:f>
      </x:c>
    </x:row>
    <x:row r="527">
      <x:c r="E527" s="102"/>
      <x:c r="G527" s="100" t="str">
        <x:f>IF(COUNTA(A527:F527)=0,"",IF(OR(A527="",B527="",C527="",D527=""),"COMPLETE ROW",IF(COUNTIF(Clients!$A$5:$A$404,C527)=0,"CLIENT NOT FOUND",IF(COUNTIFS(Clients!$A$5:$A$404,C527,Clients!$B$5:$B$404,"Active")=0,"CLIENT NOT ACTIVE",IF(COUNTIF(Teams!$A$5:$A$104,D527)=0,"TEAM NOT FOUND","OK")))))</x:f>
      </x:c>
    </x:row>
    <x:row r="528">
      <x:c r="E528" s="102"/>
      <x:c r="G528" s="100" t="str">
        <x:f>IF(COUNTA(A528:F528)=0,"",IF(OR(A528="",B528="",C528="",D528=""),"COMPLETE ROW",IF(COUNTIF(Clients!$A$5:$A$404,C528)=0,"CLIENT NOT FOUND",IF(COUNTIFS(Clients!$A$5:$A$404,C528,Clients!$B$5:$B$404,"Active")=0,"CLIENT NOT ACTIVE",IF(COUNTIF(Teams!$A$5:$A$104,D528)=0,"TEAM NOT FOUND","OK")))))</x:f>
      </x:c>
    </x:row>
    <x:row r="529">
      <x:c r="E529" s="102"/>
      <x:c r="G529" s="100" t="str">
        <x:f>IF(COUNTA(A529:F529)=0,"",IF(OR(A529="",B529="",C529="",D529=""),"COMPLETE ROW",IF(COUNTIF(Clients!$A$5:$A$404,C529)=0,"CLIENT NOT FOUND",IF(COUNTIFS(Clients!$A$5:$A$404,C529,Clients!$B$5:$B$404,"Active")=0,"CLIENT NOT ACTIVE",IF(COUNTIF(Teams!$A$5:$A$104,D529)=0,"TEAM NOT FOUND","OK")))))</x:f>
      </x:c>
    </x:row>
    <x:row r="530">
      <x:c r="E530" s="102"/>
      <x:c r="G530" s="100" t="str">
        <x:f>IF(COUNTA(A530:F530)=0,"",IF(OR(A530="",B530="",C530="",D530=""),"COMPLETE ROW",IF(COUNTIF(Clients!$A$5:$A$404,C530)=0,"CLIENT NOT FOUND",IF(COUNTIFS(Clients!$A$5:$A$404,C530,Clients!$B$5:$B$404,"Active")=0,"CLIENT NOT ACTIVE",IF(COUNTIF(Teams!$A$5:$A$104,D530)=0,"TEAM NOT FOUND","OK")))))</x:f>
      </x:c>
    </x:row>
    <x:row r="531">
      <x:c r="E531" s="102"/>
      <x:c r="G531" s="100" t="str">
        <x:f>IF(COUNTA(A531:F531)=0,"",IF(OR(A531="",B531="",C531="",D531=""),"COMPLETE ROW",IF(COUNTIF(Clients!$A$5:$A$404,C531)=0,"CLIENT NOT FOUND",IF(COUNTIFS(Clients!$A$5:$A$404,C531,Clients!$B$5:$B$404,"Active")=0,"CLIENT NOT ACTIVE",IF(COUNTIF(Teams!$A$5:$A$104,D531)=0,"TEAM NOT FOUND","OK")))))</x:f>
      </x:c>
    </x:row>
    <x:row r="532">
      <x:c r="E532" s="102"/>
      <x:c r="G532" s="100" t="str">
        <x:f>IF(COUNTA(A532:F532)=0,"",IF(OR(A532="",B532="",C532="",D532=""),"COMPLETE ROW",IF(COUNTIF(Clients!$A$5:$A$404,C532)=0,"CLIENT NOT FOUND",IF(COUNTIFS(Clients!$A$5:$A$404,C532,Clients!$B$5:$B$404,"Active")=0,"CLIENT NOT ACTIVE",IF(COUNTIF(Teams!$A$5:$A$104,D532)=0,"TEAM NOT FOUND","OK")))))</x:f>
      </x:c>
    </x:row>
    <x:row r="533">
      <x:c r="E533" s="102"/>
      <x:c r="G533" s="100" t="str">
        <x:f>IF(COUNTA(A533:F533)=0,"",IF(OR(A533="",B533="",C533="",D533=""),"COMPLETE ROW",IF(COUNTIF(Clients!$A$5:$A$404,C533)=0,"CLIENT NOT FOUND",IF(COUNTIFS(Clients!$A$5:$A$404,C533,Clients!$B$5:$B$404,"Active")=0,"CLIENT NOT ACTIVE",IF(COUNTIF(Teams!$A$5:$A$104,D533)=0,"TEAM NOT FOUND","OK")))))</x:f>
      </x:c>
    </x:row>
    <x:row r="534">
      <x:c r="E534" s="102"/>
      <x:c r="G534" s="100" t="str">
        <x:f>IF(COUNTA(A534:F534)=0,"",IF(OR(A534="",B534="",C534="",D534=""),"COMPLETE ROW",IF(COUNTIF(Clients!$A$5:$A$404,C534)=0,"CLIENT NOT FOUND",IF(COUNTIFS(Clients!$A$5:$A$404,C534,Clients!$B$5:$B$404,"Active")=0,"CLIENT NOT ACTIVE",IF(COUNTIF(Teams!$A$5:$A$104,D534)=0,"TEAM NOT FOUND","OK")))))</x:f>
      </x:c>
    </x:row>
    <x:row r="535">
      <x:c r="E535" s="102"/>
      <x:c r="G535" s="100" t="str">
        <x:f>IF(COUNTA(A535:F535)=0,"",IF(OR(A535="",B535="",C535="",D535=""),"COMPLETE ROW",IF(COUNTIF(Clients!$A$5:$A$404,C535)=0,"CLIENT NOT FOUND",IF(COUNTIFS(Clients!$A$5:$A$404,C535,Clients!$B$5:$B$404,"Active")=0,"CLIENT NOT ACTIVE",IF(COUNTIF(Teams!$A$5:$A$104,D535)=0,"TEAM NOT FOUND","OK")))))</x:f>
      </x:c>
    </x:row>
    <x:row r="536">
      <x:c r="E536" s="102"/>
      <x:c r="G536" s="100" t="str">
        <x:f>IF(COUNTA(A536:F536)=0,"",IF(OR(A536="",B536="",C536="",D536=""),"COMPLETE ROW",IF(COUNTIF(Clients!$A$5:$A$404,C536)=0,"CLIENT NOT FOUND",IF(COUNTIFS(Clients!$A$5:$A$404,C536,Clients!$B$5:$B$404,"Active")=0,"CLIENT NOT ACTIVE",IF(COUNTIF(Teams!$A$5:$A$104,D536)=0,"TEAM NOT FOUND","OK")))))</x:f>
      </x:c>
    </x:row>
    <x:row r="537">
      <x:c r="E537" s="102"/>
      <x:c r="G537" s="100" t="str">
        <x:f>IF(COUNTA(A537:F537)=0,"",IF(OR(A537="",B537="",C537="",D537=""),"COMPLETE ROW",IF(COUNTIF(Clients!$A$5:$A$404,C537)=0,"CLIENT NOT FOUND",IF(COUNTIFS(Clients!$A$5:$A$404,C537,Clients!$B$5:$B$404,"Active")=0,"CLIENT NOT ACTIVE",IF(COUNTIF(Teams!$A$5:$A$104,D537)=0,"TEAM NOT FOUND","OK")))))</x:f>
      </x:c>
    </x:row>
    <x:row r="538">
      <x:c r="E538" s="102"/>
      <x:c r="G538" s="100" t="str">
        <x:f>IF(COUNTA(A538:F538)=0,"",IF(OR(A538="",B538="",C538="",D538=""),"COMPLETE ROW",IF(COUNTIF(Clients!$A$5:$A$404,C538)=0,"CLIENT NOT FOUND",IF(COUNTIFS(Clients!$A$5:$A$404,C538,Clients!$B$5:$B$404,"Active")=0,"CLIENT NOT ACTIVE",IF(COUNTIF(Teams!$A$5:$A$104,D538)=0,"TEAM NOT FOUND","OK")))))</x:f>
      </x:c>
    </x:row>
    <x:row r="539">
      <x:c r="E539" s="102"/>
      <x:c r="G539" s="100" t="str">
        <x:f>IF(COUNTA(A539:F539)=0,"",IF(OR(A539="",B539="",C539="",D539=""),"COMPLETE ROW",IF(COUNTIF(Clients!$A$5:$A$404,C539)=0,"CLIENT NOT FOUND",IF(COUNTIFS(Clients!$A$5:$A$404,C539,Clients!$B$5:$B$404,"Active")=0,"CLIENT NOT ACTIVE",IF(COUNTIF(Teams!$A$5:$A$104,D539)=0,"TEAM NOT FOUND","OK")))))</x:f>
      </x:c>
    </x:row>
    <x:row r="540">
      <x:c r="E540" s="102"/>
      <x:c r="G540" s="100" t="str">
        <x:f>IF(COUNTA(A540:F540)=0,"",IF(OR(A540="",B540="",C540="",D540=""),"COMPLETE ROW",IF(COUNTIF(Clients!$A$5:$A$404,C540)=0,"CLIENT NOT FOUND",IF(COUNTIFS(Clients!$A$5:$A$404,C540,Clients!$B$5:$B$404,"Active")=0,"CLIENT NOT ACTIVE",IF(COUNTIF(Teams!$A$5:$A$104,D540)=0,"TEAM NOT FOUND","OK")))))</x:f>
      </x:c>
    </x:row>
    <x:row r="541">
      <x:c r="E541" s="102"/>
      <x:c r="G541" s="100" t="str">
        <x:f>IF(COUNTA(A541:F541)=0,"",IF(OR(A541="",B541="",C541="",D541=""),"COMPLETE ROW",IF(COUNTIF(Clients!$A$5:$A$404,C541)=0,"CLIENT NOT FOUND",IF(COUNTIFS(Clients!$A$5:$A$404,C541,Clients!$B$5:$B$404,"Active")=0,"CLIENT NOT ACTIVE",IF(COUNTIF(Teams!$A$5:$A$104,D541)=0,"TEAM NOT FOUND","OK")))))</x:f>
      </x:c>
    </x:row>
    <x:row r="542">
      <x:c r="E542" s="102"/>
      <x:c r="G542" s="100" t="str">
        <x:f>IF(COUNTA(A542:F542)=0,"",IF(OR(A542="",B542="",C542="",D542=""),"COMPLETE ROW",IF(COUNTIF(Clients!$A$5:$A$404,C542)=0,"CLIENT NOT FOUND",IF(COUNTIFS(Clients!$A$5:$A$404,C542,Clients!$B$5:$B$404,"Active")=0,"CLIENT NOT ACTIVE",IF(COUNTIF(Teams!$A$5:$A$104,D542)=0,"TEAM NOT FOUND","OK")))))</x:f>
      </x:c>
    </x:row>
    <x:row r="543">
      <x:c r="E543" s="102"/>
      <x:c r="G543" s="100" t="str">
        <x:f>IF(COUNTA(A543:F543)=0,"",IF(OR(A543="",B543="",C543="",D543=""),"COMPLETE ROW",IF(COUNTIF(Clients!$A$5:$A$404,C543)=0,"CLIENT NOT FOUND",IF(COUNTIFS(Clients!$A$5:$A$404,C543,Clients!$B$5:$B$404,"Active")=0,"CLIENT NOT ACTIVE",IF(COUNTIF(Teams!$A$5:$A$104,D543)=0,"TEAM NOT FOUND","OK")))))</x:f>
      </x:c>
    </x:row>
    <x:row r="544">
      <x:c r="E544" s="102"/>
      <x:c r="G544" s="100" t="str">
        <x:f>IF(COUNTA(A544:F544)=0,"",IF(OR(A544="",B544="",C544="",D544=""),"COMPLETE ROW",IF(COUNTIF(Clients!$A$5:$A$404,C544)=0,"CLIENT NOT FOUND",IF(COUNTIFS(Clients!$A$5:$A$404,C544,Clients!$B$5:$B$404,"Active")=0,"CLIENT NOT ACTIVE",IF(COUNTIF(Teams!$A$5:$A$104,D544)=0,"TEAM NOT FOUND","OK")))))</x:f>
      </x:c>
    </x:row>
    <x:row r="545">
      <x:c r="E545" s="102"/>
      <x:c r="G545" s="100" t="str">
        <x:f>IF(COUNTA(A545:F545)=0,"",IF(OR(A545="",B545="",C545="",D545=""),"COMPLETE ROW",IF(COUNTIF(Clients!$A$5:$A$404,C545)=0,"CLIENT NOT FOUND",IF(COUNTIFS(Clients!$A$5:$A$404,C545,Clients!$B$5:$B$404,"Active")=0,"CLIENT NOT ACTIVE",IF(COUNTIF(Teams!$A$5:$A$104,D545)=0,"TEAM NOT FOUND","OK")))))</x:f>
      </x:c>
    </x:row>
    <x:row r="546">
      <x:c r="E546" s="102"/>
      <x:c r="G546" s="100" t="str">
        <x:f>IF(COUNTA(A546:F546)=0,"",IF(OR(A546="",B546="",C546="",D546=""),"COMPLETE ROW",IF(COUNTIF(Clients!$A$5:$A$404,C546)=0,"CLIENT NOT FOUND",IF(COUNTIFS(Clients!$A$5:$A$404,C546,Clients!$B$5:$B$404,"Active")=0,"CLIENT NOT ACTIVE",IF(COUNTIF(Teams!$A$5:$A$104,D546)=0,"TEAM NOT FOUND","OK")))))</x:f>
      </x:c>
    </x:row>
    <x:row r="547">
      <x:c r="E547" s="102"/>
      <x:c r="G547" s="100" t="str">
        <x:f>IF(COUNTA(A547:F547)=0,"",IF(OR(A547="",B547="",C547="",D547=""),"COMPLETE ROW",IF(COUNTIF(Clients!$A$5:$A$404,C547)=0,"CLIENT NOT FOUND",IF(COUNTIFS(Clients!$A$5:$A$404,C547,Clients!$B$5:$B$404,"Active")=0,"CLIENT NOT ACTIVE",IF(COUNTIF(Teams!$A$5:$A$104,D547)=0,"TEAM NOT FOUND","OK")))))</x:f>
      </x:c>
    </x:row>
    <x:row r="548">
      <x:c r="E548" s="102"/>
      <x:c r="G548" s="100" t="str">
        <x:f>IF(COUNTA(A548:F548)=0,"",IF(OR(A548="",B548="",C548="",D548=""),"COMPLETE ROW",IF(COUNTIF(Clients!$A$5:$A$404,C548)=0,"CLIENT NOT FOUND",IF(COUNTIFS(Clients!$A$5:$A$404,C548,Clients!$B$5:$B$404,"Active")=0,"CLIENT NOT ACTIVE",IF(COUNTIF(Teams!$A$5:$A$104,D548)=0,"TEAM NOT FOUND","OK")))))</x:f>
      </x:c>
    </x:row>
    <x:row r="549">
      <x:c r="E549" s="102"/>
      <x:c r="G549" s="100" t="str">
        <x:f>IF(COUNTA(A549:F549)=0,"",IF(OR(A549="",B549="",C549="",D549=""),"COMPLETE ROW",IF(COUNTIF(Clients!$A$5:$A$404,C549)=0,"CLIENT NOT FOUND",IF(COUNTIFS(Clients!$A$5:$A$404,C549,Clients!$B$5:$B$404,"Active")=0,"CLIENT NOT ACTIVE",IF(COUNTIF(Teams!$A$5:$A$104,D549)=0,"TEAM NOT FOUND","OK")))))</x:f>
      </x:c>
    </x:row>
    <x:row r="550">
      <x:c r="E550" s="102"/>
      <x:c r="G550" s="100" t="str">
        <x:f>IF(COUNTA(A550:F550)=0,"",IF(OR(A550="",B550="",C550="",D550=""),"COMPLETE ROW",IF(COUNTIF(Clients!$A$5:$A$404,C550)=0,"CLIENT NOT FOUND",IF(COUNTIFS(Clients!$A$5:$A$404,C550,Clients!$B$5:$B$404,"Active")=0,"CLIENT NOT ACTIVE",IF(COUNTIF(Teams!$A$5:$A$104,D550)=0,"TEAM NOT FOUND","OK")))))</x:f>
      </x:c>
    </x:row>
    <x:row r="551">
      <x:c r="E551" s="102"/>
      <x:c r="G551" s="100" t="str">
        <x:f>IF(COUNTA(A551:F551)=0,"",IF(OR(A551="",B551="",C551="",D551=""),"COMPLETE ROW",IF(COUNTIF(Clients!$A$5:$A$404,C551)=0,"CLIENT NOT FOUND",IF(COUNTIFS(Clients!$A$5:$A$404,C551,Clients!$B$5:$B$404,"Active")=0,"CLIENT NOT ACTIVE",IF(COUNTIF(Teams!$A$5:$A$104,D551)=0,"TEAM NOT FOUND","OK")))))</x:f>
      </x:c>
    </x:row>
    <x:row r="552">
      <x:c r="E552" s="102"/>
      <x:c r="G552" s="100" t="str">
        <x:f>IF(COUNTA(A552:F552)=0,"",IF(OR(A552="",B552="",C552="",D552=""),"COMPLETE ROW",IF(COUNTIF(Clients!$A$5:$A$404,C552)=0,"CLIENT NOT FOUND",IF(COUNTIFS(Clients!$A$5:$A$404,C552,Clients!$B$5:$B$404,"Active")=0,"CLIENT NOT ACTIVE",IF(COUNTIF(Teams!$A$5:$A$104,D552)=0,"TEAM NOT FOUND","OK")))))</x:f>
      </x:c>
    </x:row>
    <x:row r="553">
      <x:c r="E553" s="102"/>
      <x:c r="G553" s="100" t="str">
        <x:f>IF(COUNTA(A553:F553)=0,"",IF(OR(A553="",B553="",C553="",D553=""),"COMPLETE ROW",IF(COUNTIF(Clients!$A$5:$A$404,C553)=0,"CLIENT NOT FOUND",IF(COUNTIFS(Clients!$A$5:$A$404,C553,Clients!$B$5:$B$404,"Active")=0,"CLIENT NOT ACTIVE",IF(COUNTIF(Teams!$A$5:$A$104,D553)=0,"TEAM NOT FOUND","OK")))))</x:f>
      </x:c>
    </x:row>
    <x:row r="554">
      <x:c r="E554" s="102"/>
      <x:c r="G554" s="100" t="str">
        <x:f>IF(COUNTA(A554:F554)=0,"",IF(OR(A554="",B554="",C554="",D554=""),"COMPLETE ROW",IF(COUNTIF(Clients!$A$5:$A$404,C554)=0,"CLIENT NOT FOUND",IF(COUNTIFS(Clients!$A$5:$A$404,C554,Clients!$B$5:$B$404,"Active")=0,"CLIENT NOT ACTIVE",IF(COUNTIF(Teams!$A$5:$A$104,D554)=0,"TEAM NOT FOUND","OK")))))</x:f>
      </x:c>
    </x:row>
    <x:row r="555">
      <x:c r="E555" s="102"/>
      <x:c r="G555" s="100" t="str">
        <x:f>IF(COUNTA(A555:F555)=0,"",IF(OR(A555="",B555="",C555="",D555=""),"COMPLETE ROW",IF(COUNTIF(Clients!$A$5:$A$404,C555)=0,"CLIENT NOT FOUND",IF(COUNTIFS(Clients!$A$5:$A$404,C555,Clients!$B$5:$B$404,"Active")=0,"CLIENT NOT ACTIVE",IF(COUNTIF(Teams!$A$5:$A$104,D555)=0,"TEAM NOT FOUND","OK")))))</x:f>
      </x:c>
    </x:row>
    <x:row r="556">
      <x:c r="E556" s="102"/>
      <x:c r="G556" s="100" t="str">
        <x:f>IF(COUNTA(A556:F556)=0,"",IF(OR(A556="",B556="",C556="",D556=""),"COMPLETE ROW",IF(COUNTIF(Clients!$A$5:$A$404,C556)=0,"CLIENT NOT FOUND",IF(COUNTIFS(Clients!$A$5:$A$404,C556,Clients!$B$5:$B$404,"Active")=0,"CLIENT NOT ACTIVE",IF(COUNTIF(Teams!$A$5:$A$104,D556)=0,"TEAM NOT FOUND","OK")))))</x:f>
      </x:c>
    </x:row>
    <x:row r="557">
      <x:c r="E557" s="102"/>
      <x:c r="G557" s="100" t="str">
        <x:f>IF(COUNTA(A557:F557)=0,"",IF(OR(A557="",B557="",C557="",D557=""),"COMPLETE ROW",IF(COUNTIF(Clients!$A$5:$A$404,C557)=0,"CLIENT NOT FOUND",IF(COUNTIFS(Clients!$A$5:$A$404,C557,Clients!$B$5:$B$404,"Active")=0,"CLIENT NOT ACTIVE",IF(COUNTIF(Teams!$A$5:$A$104,D557)=0,"TEAM NOT FOUND","OK")))))</x:f>
      </x:c>
    </x:row>
    <x:row r="558">
      <x:c r="E558" s="102"/>
      <x:c r="G558" s="100" t="str">
        <x:f>IF(COUNTA(A558:F558)=0,"",IF(OR(A558="",B558="",C558="",D558=""),"COMPLETE ROW",IF(COUNTIF(Clients!$A$5:$A$404,C558)=0,"CLIENT NOT FOUND",IF(COUNTIFS(Clients!$A$5:$A$404,C558,Clients!$B$5:$B$404,"Active")=0,"CLIENT NOT ACTIVE",IF(COUNTIF(Teams!$A$5:$A$104,D558)=0,"TEAM NOT FOUND","OK")))))</x:f>
      </x:c>
    </x:row>
    <x:row r="559">
      <x:c r="E559" s="102"/>
      <x:c r="G559" s="100" t="str">
        <x:f>IF(COUNTA(A559:F559)=0,"",IF(OR(A559="",B559="",C559="",D559=""),"COMPLETE ROW",IF(COUNTIF(Clients!$A$5:$A$404,C559)=0,"CLIENT NOT FOUND",IF(COUNTIFS(Clients!$A$5:$A$404,C559,Clients!$B$5:$B$404,"Active")=0,"CLIENT NOT ACTIVE",IF(COUNTIF(Teams!$A$5:$A$104,D559)=0,"TEAM NOT FOUND","OK")))))</x:f>
      </x:c>
    </x:row>
    <x:row r="560">
      <x:c r="E560" s="102"/>
      <x:c r="G560" s="100" t="str">
        <x:f>IF(COUNTA(A560:F560)=0,"",IF(OR(A560="",B560="",C560="",D560=""),"COMPLETE ROW",IF(COUNTIF(Clients!$A$5:$A$404,C560)=0,"CLIENT NOT FOUND",IF(COUNTIFS(Clients!$A$5:$A$404,C560,Clients!$B$5:$B$404,"Active")=0,"CLIENT NOT ACTIVE",IF(COUNTIF(Teams!$A$5:$A$104,D560)=0,"TEAM NOT FOUND","OK")))))</x:f>
      </x:c>
    </x:row>
    <x:row r="561">
      <x:c r="E561" s="102"/>
      <x:c r="G561" s="100" t="str">
        <x:f>IF(COUNTA(A561:F561)=0,"",IF(OR(A561="",B561="",C561="",D561=""),"COMPLETE ROW",IF(COUNTIF(Clients!$A$5:$A$404,C561)=0,"CLIENT NOT FOUND",IF(COUNTIFS(Clients!$A$5:$A$404,C561,Clients!$B$5:$B$404,"Active")=0,"CLIENT NOT ACTIVE",IF(COUNTIF(Teams!$A$5:$A$104,D561)=0,"TEAM NOT FOUND","OK")))))</x:f>
      </x:c>
    </x:row>
    <x:row r="562">
      <x:c r="E562" s="102"/>
      <x:c r="G562" s="100" t="str">
        <x:f>IF(COUNTA(A562:F562)=0,"",IF(OR(A562="",B562="",C562="",D562=""),"COMPLETE ROW",IF(COUNTIF(Clients!$A$5:$A$404,C562)=0,"CLIENT NOT FOUND",IF(COUNTIFS(Clients!$A$5:$A$404,C562,Clients!$B$5:$B$404,"Active")=0,"CLIENT NOT ACTIVE",IF(COUNTIF(Teams!$A$5:$A$104,D562)=0,"TEAM NOT FOUND","OK")))))</x:f>
      </x:c>
    </x:row>
    <x:row r="563">
      <x:c r="E563" s="102"/>
      <x:c r="G563" s="100" t="str">
        <x:f>IF(COUNTA(A563:F563)=0,"",IF(OR(A563="",B563="",C563="",D563=""),"COMPLETE ROW",IF(COUNTIF(Clients!$A$5:$A$404,C563)=0,"CLIENT NOT FOUND",IF(COUNTIFS(Clients!$A$5:$A$404,C563,Clients!$B$5:$B$404,"Active")=0,"CLIENT NOT ACTIVE",IF(COUNTIF(Teams!$A$5:$A$104,D563)=0,"TEAM NOT FOUND","OK")))))</x:f>
      </x:c>
    </x:row>
    <x:row r="564">
      <x:c r="E564" s="102"/>
      <x:c r="G564" s="100" t="str">
        <x:f>IF(COUNTA(A564:F564)=0,"",IF(OR(A564="",B564="",C564="",D564=""),"COMPLETE ROW",IF(COUNTIF(Clients!$A$5:$A$404,C564)=0,"CLIENT NOT FOUND",IF(COUNTIFS(Clients!$A$5:$A$404,C564,Clients!$B$5:$B$404,"Active")=0,"CLIENT NOT ACTIVE",IF(COUNTIF(Teams!$A$5:$A$104,D564)=0,"TEAM NOT FOUND","OK")))))</x:f>
      </x:c>
    </x:row>
    <x:row r="565">
      <x:c r="E565" s="102"/>
      <x:c r="G565" s="100" t="str">
        <x:f>IF(COUNTA(A565:F565)=0,"",IF(OR(A565="",B565="",C565="",D565=""),"COMPLETE ROW",IF(COUNTIF(Clients!$A$5:$A$404,C565)=0,"CLIENT NOT FOUND",IF(COUNTIFS(Clients!$A$5:$A$404,C565,Clients!$B$5:$B$404,"Active")=0,"CLIENT NOT ACTIVE",IF(COUNTIF(Teams!$A$5:$A$104,D565)=0,"TEAM NOT FOUND","OK")))))</x:f>
      </x:c>
    </x:row>
    <x:row r="566">
      <x:c r="E566" s="102"/>
      <x:c r="G566" s="100" t="str">
        <x:f>IF(COUNTA(A566:F566)=0,"",IF(OR(A566="",B566="",C566="",D566=""),"COMPLETE ROW",IF(COUNTIF(Clients!$A$5:$A$404,C566)=0,"CLIENT NOT FOUND",IF(COUNTIFS(Clients!$A$5:$A$404,C566,Clients!$B$5:$B$404,"Active")=0,"CLIENT NOT ACTIVE",IF(COUNTIF(Teams!$A$5:$A$104,D566)=0,"TEAM NOT FOUND","OK")))))</x:f>
      </x:c>
    </x:row>
    <x:row r="567">
      <x:c r="E567" s="102"/>
      <x:c r="G567" s="100" t="str">
        <x:f>IF(COUNTA(A567:F567)=0,"",IF(OR(A567="",B567="",C567="",D567=""),"COMPLETE ROW",IF(COUNTIF(Clients!$A$5:$A$404,C567)=0,"CLIENT NOT FOUND",IF(COUNTIFS(Clients!$A$5:$A$404,C567,Clients!$B$5:$B$404,"Active")=0,"CLIENT NOT ACTIVE",IF(COUNTIF(Teams!$A$5:$A$104,D567)=0,"TEAM NOT FOUND","OK")))))</x:f>
      </x:c>
    </x:row>
    <x:row r="568">
      <x:c r="E568" s="102"/>
      <x:c r="G568" s="100" t="str">
        <x:f>IF(COUNTA(A568:F568)=0,"",IF(OR(A568="",B568="",C568="",D568=""),"COMPLETE ROW",IF(COUNTIF(Clients!$A$5:$A$404,C568)=0,"CLIENT NOT FOUND",IF(COUNTIFS(Clients!$A$5:$A$404,C568,Clients!$B$5:$B$404,"Active")=0,"CLIENT NOT ACTIVE",IF(COUNTIF(Teams!$A$5:$A$104,D568)=0,"TEAM NOT FOUND","OK")))))</x:f>
      </x:c>
    </x:row>
    <x:row r="569">
      <x:c r="E569" s="102"/>
      <x:c r="G569" s="100" t="str">
        <x:f>IF(COUNTA(A569:F569)=0,"",IF(OR(A569="",B569="",C569="",D569=""),"COMPLETE ROW",IF(COUNTIF(Clients!$A$5:$A$404,C569)=0,"CLIENT NOT FOUND",IF(COUNTIFS(Clients!$A$5:$A$404,C569,Clients!$B$5:$B$404,"Active")=0,"CLIENT NOT ACTIVE",IF(COUNTIF(Teams!$A$5:$A$104,D569)=0,"TEAM NOT FOUND","OK")))))</x:f>
      </x:c>
    </x:row>
    <x:row r="570">
      <x:c r="E570" s="102"/>
      <x:c r="G570" s="100" t="str">
        <x:f>IF(COUNTA(A570:F570)=0,"",IF(OR(A570="",B570="",C570="",D570=""),"COMPLETE ROW",IF(COUNTIF(Clients!$A$5:$A$404,C570)=0,"CLIENT NOT FOUND",IF(COUNTIFS(Clients!$A$5:$A$404,C570,Clients!$B$5:$B$404,"Active")=0,"CLIENT NOT ACTIVE",IF(COUNTIF(Teams!$A$5:$A$104,D570)=0,"TEAM NOT FOUND","OK")))))</x:f>
      </x:c>
    </x:row>
    <x:row r="571">
      <x:c r="E571" s="102"/>
      <x:c r="G571" s="100" t="str">
        <x:f>IF(COUNTA(A571:F571)=0,"",IF(OR(A571="",B571="",C571="",D571=""),"COMPLETE ROW",IF(COUNTIF(Clients!$A$5:$A$404,C571)=0,"CLIENT NOT FOUND",IF(COUNTIFS(Clients!$A$5:$A$404,C571,Clients!$B$5:$B$404,"Active")=0,"CLIENT NOT ACTIVE",IF(COUNTIF(Teams!$A$5:$A$104,D571)=0,"TEAM NOT FOUND","OK")))))</x:f>
      </x:c>
    </x:row>
    <x:row r="572">
      <x:c r="E572" s="102"/>
      <x:c r="G572" s="100" t="str">
        <x:f>IF(COUNTA(A572:F572)=0,"",IF(OR(A572="",B572="",C572="",D572=""),"COMPLETE ROW",IF(COUNTIF(Clients!$A$5:$A$404,C572)=0,"CLIENT NOT FOUND",IF(COUNTIFS(Clients!$A$5:$A$404,C572,Clients!$B$5:$B$404,"Active")=0,"CLIENT NOT ACTIVE",IF(COUNTIF(Teams!$A$5:$A$104,D572)=0,"TEAM NOT FOUND","OK")))))</x:f>
      </x:c>
    </x:row>
    <x:row r="573">
      <x:c r="E573" s="102"/>
      <x:c r="G573" s="100" t="str">
        <x:f>IF(COUNTA(A573:F573)=0,"",IF(OR(A573="",B573="",C573="",D573=""),"COMPLETE ROW",IF(COUNTIF(Clients!$A$5:$A$404,C573)=0,"CLIENT NOT FOUND",IF(COUNTIFS(Clients!$A$5:$A$404,C573,Clients!$B$5:$B$404,"Active")=0,"CLIENT NOT ACTIVE",IF(COUNTIF(Teams!$A$5:$A$104,D573)=0,"TEAM NOT FOUND","OK")))))</x:f>
      </x:c>
    </x:row>
    <x:row r="574">
      <x:c r="E574" s="102"/>
      <x:c r="G574" s="100" t="str">
        <x:f>IF(COUNTA(A574:F574)=0,"",IF(OR(A574="",B574="",C574="",D574=""),"COMPLETE ROW",IF(COUNTIF(Clients!$A$5:$A$404,C574)=0,"CLIENT NOT FOUND",IF(COUNTIFS(Clients!$A$5:$A$404,C574,Clients!$B$5:$B$404,"Active")=0,"CLIENT NOT ACTIVE",IF(COUNTIF(Teams!$A$5:$A$104,D574)=0,"TEAM NOT FOUND","OK")))))</x:f>
      </x:c>
    </x:row>
    <x:row r="575">
      <x:c r="E575" s="102"/>
      <x:c r="G575" s="100" t="str">
        <x:f>IF(COUNTA(A575:F575)=0,"",IF(OR(A575="",B575="",C575="",D575=""),"COMPLETE ROW",IF(COUNTIF(Clients!$A$5:$A$404,C575)=0,"CLIENT NOT FOUND",IF(COUNTIFS(Clients!$A$5:$A$404,C575,Clients!$B$5:$B$404,"Active")=0,"CLIENT NOT ACTIVE",IF(COUNTIF(Teams!$A$5:$A$104,D575)=0,"TEAM NOT FOUND","OK")))))</x:f>
      </x:c>
    </x:row>
    <x:row r="576">
      <x:c r="E576" s="102"/>
      <x:c r="G576" s="100" t="str">
        <x:f>IF(COUNTA(A576:F576)=0,"",IF(OR(A576="",B576="",C576="",D576=""),"COMPLETE ROW",IF(COUNTIF(Clients!$A$5:$A$404,C576)=0,"CLIENT NOT FOUND",IF(COUNTIFS(Clients!$A$5:$A$404,C576,Clients!$B$5:$B$404,"Active")=0,"CLIENT NOT ACTIVE",IF(COUNTIF(Teams!$A$5:$A$104,D576)=0,"TEAM NOT FOUND","OK")))))</x:f>
      </x:c>
    </x:row>
    <x:row r="577">
      <x:c r="E577" s="102"/>
      <x:c r="G577" s="100" t="str">
        <x:f>IF(COUNTA(A577:F577)=0,"",IF(OR(A577="",B577="",C577="",D577=""),"COMPLETE ROW",IF(COUNTIF(Clients!$A$5:$A$404,C577)=0,"CLIENT NOT FOUND",IF(COUNTIFS(Clients!$A$5:$A$404,C577,Clients!$B$5:$B$404,"Active")=0,"CLIENT NOT ACTIVE",IF(COUNTIF(Teams!$A$5:$A$104,D577)=0,"TEAM NOT FOUND","OK")))))</x:f>
      </x:c>
    </x:row>
    <x:row r="578">
      <x:c r="E578" s="102"/>
      <x:c r="G578" s="100" t="str">
        <x:f>IF(COUNTA(A578:F578)=0,"",IF(OR(A578="",B578="",C578="",D578=""),"COMPLETE ROW",IF(COUNTIF(Clients!$A$5:$A$404,C578)=0,"CLIENT NOT FOUND",IF(COUNTIFS(Clients!$A$5:$A$404,C578,Clients!$B$5:$B$404,"Active")=0,"CLIENT NOT ACTIVE",IF(COUNTIF(Teams!$A$5:$A$104,D578)=0,"TEAM NOT FOUND","OK")))))</x:f>
      </x:c>
    </x:row>
    <x:row r="579">
      <x:c r="E579" s="102"/>
      <x:c r="G579" s="100" t="str">
        <x:f>IF(COUNTA(A579:F579)=0,"",IF(OR(A579="",B579="",C579="",D579=""),"COMPLETE ROW",IF(COUNTIF(Clients!$A$5:$A$404,C579)=0,"CLIENT NOT FOUND",IF(COUNTIFS(Clients!$A$5:$A$404,C579,Clients!$B$5:$B$404,"Active")=0,"CLIENT NOT ACTIVE",IF(COUNTIF(Teams!$A$5:$A$104,D579)=0,"TEAM NOT FOUND","OK")))))</x:f>
      </x:c>
    </x:row>
    <x:row r="580">
      <x:c r="E580" s="102"/>
      <x:c r="G580" s="100" t="str">
        <x:f>IF(COUNTA(A580:F580)=0,"",IF(OR(A580="",B580="",C580="",D580=""),"COMPLETE ROW",IF(COUNTIF(Clients!$A$5:$A$404,C580)=0,"CLIENT NOT FOUND",IF(COUNTIFS(Clients!$A$5:$A$404,C580,Clients!$B$5:$B$404,"Active")=0,"CLIENT NOT ACTIVE",IF(COUNTIF(Teams!$A$5:$A$104,D580)=0,"TEAM NOT FOUND","OK")))))</x:f>
      </x:c>
    </x:row>
    <x:row r="581">
      <x:c r="E581" s="102"/>
      <x:c r="G581" s="100" t="str">
        <x:f>IF(COUNTA(A581:F581)=0,"",IF(OR(A581="",B581="",C581="",D581=""),"COMPLETE ROW",IF(COUNTIF(Clients!$A$5:$A$404,C581)=0,"CLIENT NOT FOUND",IF(COUNTIFS(Clients!$A$5:$A$404,C581,Clients!$B$5:$B$404,"Active")=0,"CLIENT NOT ACTIVE",IF(COUNTIF(Teams!$A$5:$A$104,D581)=0,"TEAM NOT FOUND","OK")))))</x:f>
      </x:c>
    </x:row>
    <x:row r="582">
      <x:c r="E582" s="102"/>
      <x:c r="G582" s="100" t="str">
        <x:f>IF(COUNTA(A582:F582)=0,"",IF(OR(A582="",B582="",C582="",D582=""),"COMPLETE ROW",IF(COUNTIF(Clients!$A$5:$A$404,C582)=0,"CLIENT NOT FOUND",IF(COUNTIFS(Clients!$A$5:$A$404,C582,Clients!$B$5:$B$404,"Active")=0,"CLIENT NOT ACTIVE",IF(COUNTIF(Teams!$A$5:$A$104,D582)=0,"TEAM NOT FOUND","OK")))))</x:f>
      </x:c>
    </x:row>
    <x:row r="583">
      <x:c r="E583" s="102"/>
      <x:c r="G583" s="100" t="str">
        <x:f>IF(COUNTA(A583:F583)=0,"",IF(OR(A583="",B583="",C583="",D583=""),"COMPLETE ROW",IF(COUNTIF(Clients!$A$5:$A$404,C583)=0,"CLIENT NOT FOUND",IF(COUNTIFS(Clients!$A$5:$A$404,C583,Clients!$B$5:$B$404,"Active")=0,"CLIENT NOT ACTIVE",IF(COUNTIF(Teams!$A$5:$A$104,D583)=0,"TEAM NOT FOUND","OK")))))</x:f>
      </x:c>
    </x:row>
    <x:row r="584">
      <x:c r="E584" s="102"/>
      <x:c r="G584" s="100" t="str">
        <x:f>IF(COUNTA(A584:F584)=0,"",IF(OR(A584="",B584="",C584="",D584=""),"COMPLETE ROW",IF(COUNTIF(Clients!$A$5:$A$404,C584)=0,"CLIENT NOT FOUND",IF(COUNTIFS(Clients!$A$5:$A$404,C584,Clients!$B$5:$B$404,"Active")=0,"CLIENT NOT ACTIVE",IF(COUNTIF(Teams!$A$5:$A$104,D584)=0,"TEAM NOT FOUND","OK")))))</x:f>
      </x:c>
    </x:row>
    <x:row r="585">
      <x:c r="E585" s="102"/>
      <x:c r="G585" s="100" t="str">
        <x:f>IF(COUNTA(A585:F585)=0,"",IF(OR(A585="",B585="",C585="",D585=""),"COMPLETE ROW",IF(COUNTIF(Clients!$A$5:$A$404,C585)=0,"CLIENT NOT FOUND",IF(COUNTIFS(Clients!$A$5:$A$404,C585,Clients!$B$5:$B$404,"Active")=0,"CLIENT NOT ACTIVE",IF(COUNTIF(Teams!$A$5:$A$104,D585)=0,"TEAM NOT FOUND","OK")))))</x:f>
      </x:c>
    </x:row>
    <x:row r="586">
      <x:c r="E586" s="102"/>
      <x:c r="G586" s="100" t="str">
        <x:f>IF(COUNTA(A586:F586)=0,"",IF(OR(A586="",B586="",C586="",D586=""),"COMPLETE ROW",IF(COUNTIF(Clients!$A$5:$A$404,C586)=0,"CLIENT NOT FOUND",IF(COUNTIFS(Clients!$A$5:$A$404,C586,Clients!$B$5:$B$404,"Active")=0,"CLIENT NOT ACTIVE",IF(COUNTIF(Teams!$A$5:$A$104,D586)=0,"TEAM NOT FOUND","OK")))))</x:f>
      </x:c>
    </x:row>
    <x:row r="587">
      <x:c r="E587" s="102"/>
      <x:c r="G587" s="100" t="str">
        <x:f>IF(COUNTA(A587:F587)=0,"",IF(OR(A587="",B587="",C587="",D587=""),"COMPLETE ROW",IF(COUNTIF(Clients!$A$5:$A$404,C587)=0,"CLIENT NOT FOUND",IF(COUNTIFS(Clients!$A$5:$A$404,C587,Clients!$B$5:$B$404,"Active")=0,"CLIENT NOT ACTIVE",IF(COUNTIF(Teams!$A$5:$A$104,D587)=0,"TEAM NOT FOUND","OK")))))</x:f>
      </x:c>
    </x:row>
    <x:row r="588">
      <x:c r="E588" s="102"/>
      <x:c r="G588" s="100" t="str">
        <x:f>IF(COUNTA(A588:F588)=0,"",IF(OR(A588="",B588="",C588="",D588=""),"COMPLETE ROW",IF(COUNTIF(Clients!$A$5:$A$404,C588)=0,"CLIENT NOT FOUND",IF(COUNTIFS(Clients!$A$5:$A$404,C588,Clients!$B$5:$B$404,"Active")=0,"CLIENT NOT ACTIVE",IF(COUNTIF(Teams!$A$5:$A$104,D588)=0,"TEAM NOT FOUND","OK")))))</x:f>
      </x:c>
    </x:row>
    <x:row r="589">
      <x:c r="E589" s="102"/>
      <x:c r="G589" s="100" t="str">
        <x:f>IF(COUNTA(A589:F589)=0,"",IF(OR(A589="",B589="",C589="",D589=""),"COMPLETE ROW",IF(COUNTIF(Clients!$A$5:$A$404,C589)=0,"CLIENT NOT FOUND",IF(COUNTIFS(Clients!$A$5:$A$404,C589,Clients!$B$5:$B$404,"Active")=0,"CLIENT NOT ACTIVE",IF(COUNTIF(Teams!$A$5:$A$104,D589)=0,"TEAM NOT FOUND","OK")))))</x:f>
      </x:c>
    </x:row>
    <x:row r="590">
      <x:c r="E590" s="102"/>
      <x:c r="G590" s="100" t="str">
        <x:f>IF(COUNTA(A590:F590)=0,"",IF(OR(A590="",B590="",C590="",D590=""),"COMPLETE ROW",IF(COUNTIF(Clients!$A$5:$A$404,C590)=0,"CLIENT NOT FOUND",IF(COUNTIFS(Clients!$A$5:$A$404,C590,Clients!$B$5:$B$404,"Active")=0,"CLIENT NOT ACTIVE",IF(COUNTIF(Teams!$A$5:$A$104,D590)=0,"TEAM NOT FOUND","OK")))))</x:f>
      </x:c>
    </x:row>
    <x:row r="591">
      <x:c r="E591" s="102"/>
      <x:c r="G591" s="100" t="str">
        <x:f>IF(COUNTA(A591:F591)=0,"",IF(OR(A591="",B591="",C591="",D591=""),"COMPLETE ROW",IF(COUNTIF(Clients!$A$5:$A$404,C591)=0,"CLIENT NOT FOUND",IF(COUNTIFS(Clients!$A$5:$A$404,C591,Clients!$B$5:$B$404,"Active")=0,"CLIENT NOT ACTIVE",IF(COUNTIF(Teams!$A$5:$A$104,D591)=0,"TEAM NOT FOUND","OK")))))</x:f>
      </x:c>
    </x:row>
    <x:row r="592">
      <x:c r="E592" s="102"/>
      <x:c r="G592" s="100" t="str">
        <x:f>IF(COUNTA(A592:F592)=0,"",IF(OR(A592="",B592="",C592="",D592=""),"COMPLETE ROW",IF(COUNTIF(Clients!$A$5:$A$404,C592)=0,"CLIENT NOT FOUND",IF(COUNTIFS(Clients!$A$5:$A$404,C592,Clients!$B$5:$B$404,"Active")=0,"CLIENT NOT ACTIVE",IF(COUNTIF(Teams!$A$5:$A$104,D592)=0,"TEAM NOT FOUND","OK")))))</x:f>
      </x:c>
    </x:row>
    <x:row r="593">
      <x:c r="E593" s="102"/>
      <x:c r="G593" s="100" t="str">
        <x:f>IF(COUNTA(A593:F593)=0,"",IF(OR(A593="",B593="",C593="",D593=""),"COMPLETE ROW",IF(COUNTIF(Clients!$A$5:$A$404,C593)=0,"CLIENT NOT FOUND",IF(COUNTIFS(Clients!$A$5:$A$404,C593,Clients!$B$5:$B$404,"Active")=0,"CLIENT NOT ACTIVE",IF(COUNTIF(Teams!$A$5:$A$104,D593)=0,"TEAM NOT FOUND","OK")))))</x:f>
      </x:c>
    </x:row>
    <x:row r="594">
      <x:c r="E594" s="102"/>
      <x:c r="G594" s="100" t="str">
        <x:f>IF(COUNTA(A594:F594)=0,"",IF(OR(A594="",B594="",C594="",D594=""),"COMPLETE ROW",IF(COUNTIF(Clients!$A$5:$A$404,C594)=0,"CLIENT NOT FOUND",IF(COUNTIFS(Clients!$A$5:$A$404,C594,Clients!$B$5:$B$404,"Active")=0,"CLIENT NOT ACTIVE",IF(COUNTIF(Teams!$A$5:$A$104,D594)=0,"TEAM NOT FOUND","OK")))))</x:f>
      </x:c>
    </x:row>
    <x:row r="595">
      <x:c r="E595" s="102"/>
      <x:c r="G595" s="100" t="str">
        <x:f>IF(COUNTA(A595:F595)=0,"",IF(OR(A595="",B595="",C595="",D595=""),"COMPLETE ROW",IF(COUNTIF(Clients!$A$5:$A$404,C595)=0,"CLIENT NOT FOUND",IF(COUNTIFS(Clients!$A$5:$A$404,C595,Clients!$B$5:$B$404,"Active")=0,"CLIENT NOT ACTIVE",IF(COUNTIF(Teams!$A$5:$A$104,D595)=0,"TEAM NOT FOUND","OK")))))</x:f>
      </x:c>
    </x:row>
    <x:row r="596">
      <x:c r="E596" s="102"/>
      <x:c r="G596" s="100" t="str">
        <x:f>IF(COUNTA(A596:F596)=0,"",IF(OR(A596="",B596="",C596="",D596=""),"COMPLETE ROW",IF(COUNTIF(Clients!$A$5:$A$404,C596)=0,"CLIENT NOT FOUND",IF(COUNTIFS(Clients!$A$5:$A$404,C596,Clients!$B$5:$B$404,"Active")=0,"CLIENT NOT ACTIVE",IF(COUNTIF(Teams!$A$5:$A$104,D596)=0,"TEAM NOT FOUND","OK")))))</x:f>
      </x:c>
    </x:row>
    <x:row r="597">
      <x:c r="E597" s="102"/>
      <x:c r="G597" s="100" t="str">
        <x:f>IF(COUNTA(A597:F597)=0,"",IF(OR(A597="",B597="",C597="",D597=""),"COMPLETE ROW",IF(COUNTIF(Clients!$A$5:$A$404,C597)=0,"CLIENT NOT FOUND",IF(COUNTIFS(Clients!$A$5:$A$404,C597,Clients!$B$5:$B$404,"Active")=0,"CLIENT NOT ACTIVE",IF(COUNTIF(Teams!$A$5:$A$104,D597)=0,"TEAM NOT FOUND","OK")))))</x:f>
      </x:c>
    </x:row>
    <x:row r="598">
      <x:c r="E598" s="102"/>
      <x:c r="G598" s="100" t="str">
        <x:f>IF(COUNTA(A598:F598)=0,"",IF(OR(A598="",B598="",C598="",D598=""),"COMPLETE ROW",IF(COUNTIF(Clients!$A$5:$A$404,C598)=0,"CLIENT NOT FOUND",IF(COUNTIFS(Clients!$A$5:$A$404,C598,Clients!$B$5:$B$404,"Active")=0,"CLIENT NOT ACTIVE",IF(COUNTIF(Teams!$A$5:$A$104,D598)=0,"TEAM NOT FOUND","OK")))))</x:f>
      </x:c>
    </x:row>
    <x:row r="599">
      <x:c r="E599" s="102"/>
      <x:c r="G599" s="100" t="str">
        <x:f>IF(COUNTA(A599:F599)=0,"",IF(OR(A599="",B599="",C599="",D599=""),"COMPLETE ROW",IF(COUNTIF(Clients!$A$5:$A$404,C599)=0,"CLIENT NOT FOUND",IF(COUNTIFS(Clients!$A$5:$A$404,C599,Clients!$B$5:$B$404,"Active")=0,"CLIENT NOT ACTIVE",IF(COUNTIF(Teams!$A$5:$A$104,D599)=0,"TEAM NOT FOUND","OK")))))</x:f>
      </x:c>
    </x:row>
    <x:row r="600">
      <x:c r="E600" s="102"/>
      <x:c r="G600" s="100" t="str">
        <x:f>IF(COUNTA(A600:F600)=0,"",IF(OR(A600="",B600="",C600="",D600=""),"COMPLETE ROW",IF(COUNTIF(Clients!$A$5:$A$404,C600)=0,"CLIENT NOT FOUND",IF(COUNTIFS(Clients!$A$5:$A$404,C600,Clients!$B$5:$B$404,"Active")=0,"CLIENT NOT ACTIVE",IF(COUNTIF(Teams!$A$5:$A$104,D600)=0,"TEAM NOT FOUND","OK")))))</x:f>
      </x:c>
    </x:row>
    <x:row r="601">
      <x:c r="E601" s="102"/>
      <x:c r="G601" s="100" t="str">
        <x:f>IF(COUNTA(A601:F601)=0,"",IF(OR(A601="",B601="",C601="",D601=""),"COMPLETE ROW",IF(COUNTIF(Clients!$A$5:$A$404,C601)=0,"CLIENT NOT FOUND",IF(COUNTIFS(Clients!$A$5:$A$404,C601,Clients!$B$5:$B$404,"Active")=0,"CLIENT NOT ACTIVE",IF(COUNTIF(Teams!$A$5:$A$104,D601)=0,"TEAM NOT FOUND","OK")))))</x:f>
      </x:c>
    </x:row>
    <x:row r="602">
      <x:c r="E602" s="102"/>
      <x:c r="G602" s="100" t="str">
        <x:f>IF(COUNTA(A602:F602)=0,"",IF(OR(A602="",B602="",C602="",D602=""),"COMPLETE ROW",IF(COUNTIF(Clients!$A$5:$A$404,C602)=0,"CLIENT NOT FOUND",IF(COUNTIFS(Clients!$A$5:$A$404,C602,Clients!$B$5:$B$404,"Active")=0,"CLIENT NOT ACTIVE",IF(COUNTIF(Teams!$A$5:$A$104,D602)=0,"TEAM NOT FOUND","OK")))))</x:f>
      </x:c>
    </x:row>
    <x:row r="603">
      <x:c r="E603" s="102"/>
      <x:c r="G603" s="100" t="str">
        <x:f>IF(COUNTA(A603:F603)=0,"",IF(OR(A603="",B603="",C603="",D603=""),"COMPLETE ROW",IF(COUNTIF(Clients!$A$5:$A$404,C603)=0,"CLIENT NOT FOUND",IF(COUNTIFS(Clients!$A$5:$A$404,C603,Clients!$B$5:$B$404,"Active")=0,"CLIENT NOT ACTIVE",IF(COUNTIF(Teams!$A$5:$A$104,D603)=0,"TEAM NOT FOUND","OK")))))</x:f>
      </x:c>
    </x:row>
    <x:row r="604">
      <x:c r="E604" s="102"/>
      <x:c r="G604" s="100" t="str">
        <x:f>IF(COUNTA(A604:F604)=0,"",IF(OR(A604="",B604="",C604="",D604=""),"COMPLETE ROW",IF(COUNTIF(Clients!$A$5:$A$404,C604)=0,"CLIENT NOT FOUND",IF(COUNTIFS(Clients!$A$5:$A$404,C604,Clients!$B$5:$B$404,"Active")=0,"CLIENT NOT ACTIVE",IF(COUNTIF(Teams!$A$5:$A$104,D604)=0,"TEAM NOT FOUND","OK")))))</x:f>
      </x:c>
    </x:row>
    <x:row r="605">
      <x:c r="E605" s="102"/>
      <x:c r="G605" s="100" t="str">
        <x:f>IF(COUNTA(A605:F605)=0,"",IF(OR(A605="",B605="",C605="",D605=""),"COMPLETE ROW",IF(COUNTIF(Clients!$A$5:$A$404,C605)=0,"CLIENT NOT FOUND",IF(COUNTIFS(Clients!$A$5:$A$404,C605,Clients!$B$5:$B$404,"Active")=0,"CLIENT NOT ACTIVE",IF(COUNTIF(Teams!$A$5:$A$104,D605)=0,"TEAM NOT FOUND","OK")))))</x:f>
      </x:c>
    </x:row>
    <x:row r="606">
      <x:c r="E606" s="102"/>
      <x:c r="G606" s="100" t="str">
        <x:f>IF(COUNTA(A606:F606)=0,"",IF(OR(A606="",B606="",C606="",D606=""),"COMPLETE ROW",IF(COUNTIF(Clients!$A$5:$A$404,C606)=0,"CLIENT NOT FOUND",IF(COUNTIFS(Clients!$A$5:$A$404,C606,Clients!$B$5:$B$404,"Active")=0,"CLIENT NOT ACTIVE",IF(COUNTIF(Teams!$A$5:$A$104,D606)=0,"TEAM NOT FOUND","OK")))))</x:f>
      </x:c>
    </x:row>
    <x:row r="607">
      <x:c r="E607" s="102"/>
      <x:c r="G607" s="100" t="str">
        <x:f>IF(COUNTA(A607:F607)=0,"",IF(OR(A607="",B607="",C607="",D607=""),"COMPLETE ROW",IF(COUNTIF(Clients!$A$5:$A$404,C607)=0,"CLIENT NOT FOUND",IF(COUNTIFS(Clients!$A$5:$A$404,C607,Clients!$B$5:$B$404,"Active")=0,"CLIENT NOT ACTIVE",IF(COUNTIF(Teams!$A$5:$A$104,D607)=0,"TEAM NOT FOUND","OK")))))</x:f>
      </x:c>
    </x:row>
    <x:row r="608">
      <x:c r="E608" s="102"/>
      <x:c r="G608" s="100" t="str">
        <x:f>IF(COUNTA(A608:F608)=0,"",IF(OR(A608="",B608="",C608="",D608=""),"COMPLETE ROW",IF(COUNTIF(Clients!$A$5:$A$404,C608)=0,"CLIENT NOT FOUND",IF(COUNTIFS(Clients!$A$5:$A$404,C608,Clients!$B$5:$B$404,"Active")=0,"CLIENT NOT ACTIVE",IF(COUNTIF(Teams!$A$5:$A$104,D608)=0,"TEAM NOT FOUND","OK")))))</x:f>
      </x:c>
    </x:row>
    <x:row r="609">
      <x:c r="E609" s="102"/>
      <x:c r="G609" s="100" t="str">
        <x:f>IF(COUNTA(A609:F609)=0,"",IF(OR(A609="",B609="",C609="",D609=""),"COMPLETE ROW",IF(COUNTIF(Clients!$A$5:$A$404,C609)=0,"CLIENT NOT FOUND",IF(COUNTIFS(Clients!$A$5:$A$404,C609,Clients!$B$5:$B$404,"Active")=0,"CLIENT NOT ACTIVE",IF(COUNTIF(Teams!$A$5:$A$104,D609)=0,"TEAM NOT FOUND","OK")))))</x:f>
      </x:c>
    </x:row>
    <x:row r="610">
      <x:c r="E610" s="102"/>
      <x:c r="G610" s="100" t="str">
        <x:f>IF(COUNTA(A610:F610)=0,"",IF(OR(A610="",B610="",C610="",D610=""),"COMPLETE ROW",IF(COUNTIF(Clients!$A$5:$A$404,C610)=0,"CLIENT NOT FOUND",IF(COUNTIFS(Clients!$A$5:$A$404,C610,Clients!$B$5:$B$404,"Active")=0,"CLIENT NOT ACTIVE",IF(COUNTIF(Teams!$A$5:$A$104,D610)=0,"TEAM NOT FOUND","OK")))))</x:f>
      </x:c>
    </x:row>
    <x:row r="611">
      <x:c r="E611" s="102"/>
      <x:c r="G611" s="100" t="str">
        <x:f>IF(COUNTA(A611:F611)=0,"",IF(OR(A611="",B611="",C611="",D611=""),"COMPLETE ROW",IF(COUNTIF(Clients!$A$5:$A$404,C611)=0,"CLIENT NOT FOUND",IF(COUNTIFS(Clients!$A$5:$A$404,C611,Clients!$B$5:$B$404,"Active")=0,"CLIENT NOT ACTIVE",IF(COUNTIF(Teams!$A$5:$A$104,D611)=0,"TEAM NOT FOUND","OK")))))</x:f>
      </x:c>
    </x:row>
    <x:row r="612">
      <x:c r="E612" s="102"/>
      <x:c r="G612" s="100" t="str">
        <x:f>IF(COUNTA(A612:F612)=0,"",IF(OR(A612="",B612="",C612="",D612=""),"COMPLETE ROW",IF(COUNTIF(Clients!$A$5:$A$404,C612)=0,"CLIENT NOT FOUND",IF(COUNTIFS(Clients!$A$5:$A$404,C612,Clients!$B$5:$B$404,"Active")=0,"CLIENT NOT ACTIVE",IF(COUNTIF(Teams!$A$5:$A$104,D612)=0,"TEAM NOT FOUND","OK")))))</x:f>
      </x:c>
    </x:row>
    <x:row r="613">
      <x:c r="E613" s="102"/>
      <x:c r="G613" s="100" t="str">
        <x:f>IF(COUNTA(A613:F613)=0,"",IF(OR(A613="",B613="",C613="",D613=""),"COMPLETE ROW",IF(COUNTIF(Clients!$A$5:$A$404,C613)=0,"CLIENT NOT FOUND",IF(COUNTIFS(Clients!$A$5:$A$404,C613,Clients!$B$5:$B$404,"Active")=0,"CLIENT NOT ACTIVE",IF(COUNTIF(Teams!$A$5:$A$104,D613)=0,"TEAM NOT FOUND","OK")))))</x:f>
      </x:c>
    </x:row>
    <x:row r="614">
      <x:c r="E614" s="102"/>
      <x:c r="G614" s="100" t="str">
        <x:f>IF(COUNTA(A614:F614)=0,"",IF(OR(A614="",B614="",C614="",D614=""),"COMPLETE ROW",IF(COUNTIF(Clients!$A$5:$A$404,C614)=0,"CLIENT NOT FOUND",IF(COUNTIFS(Clients!$A$5:$A$404,C614,Clients!$B$5:$B$404,"Active")=0,"CLIENT NOT ACTIVE",IF(COUNTIF(Teams!$A$5:$A$104,D614)=0,"TEAM NOT FOUND","OK")))))</x:f>
      </x:c>
    </x:row>
    <x:row r="615">
      <x:c r="E615" s="102"/>
      <x:c r="G615" s="100" t="str">
        <x:f>IF(COUNTA(A615:F615)=0,"",IF(OR(A615="",B615="",C615="",D615=""),"COMPLETE ROW",IF(COUNTIF(Clients!$A$5:$A$404,C615)=0,"CLIENT NOT FOUND",IF(COUNTIFS(Clients!$A$5:$A$404,C615,Clients!$B$5:$B$404,"Active")=0,"CLIENT NOT ACTIVE",IF(COUNTIF(Teams!$A$5:$A$104,D615)=0,"TEAM NOT FOUND","OK")))))</x:f>
      </x:c>
    </x:row>
    <x:row r="616">
      <x:c r="E616" s="102"/>
      <x:c r="G616" s="100" t="str">
        <x:f>IF(COUNTA(A616:F616)=0,"",IF(OR(A616="",B616="",C616="",D616=""),"COMPLETE ROW",IF(COUNTIF(Clients!$A$5:$A$404,C616)=0,"CLIENT NOT FOUND",IF(COUNTIFS(Clients!$A$5:$A$404,C616,Clients!$B$5:$B$404,"Active")=0,"CLIENT NOT ACTIVE",IF(COUNTIF(Teams!$A$5:$A$104,D616)=0,"TEAM NOT FOUND","OK")))))</x:f>
      </x:c>
    </x:row>
    <x:row r="617">
      <x:c r="E617" s="102"/>
      <x:c r="G617" s="100" t="str">
        <x:f>IF(COUNTA(A617:F617)=0,"",IF(OR(A617="",B617="",C617="",D617=""),"COMPLETE ROW",IF(COUNTIF(Clients!$A$5:$A$404,C617)=0,"CLIENT NOT FOUND",IF(COUNTIFS(Clients!$A$5:$A$404,C617,Clients!$B$5:$B$404,"Active")=0,"CLIENT NOT ACTIVE",IF(COUNTIF(Teams!$A$5:$A$104,D617)=0,"TEAM NOT FOUND","OK")))))</x:f>
      </x:c>
    </x:row>
    <x:row r="618">
      <x:c r="E618" s="102"/>
      <x:c r="G618" s="100" t="str">
        <x:f>IF(COUNTA(A618:F618)=0,"",IF(OR(A618="",B618="",C618="",D618=""),"COMPLETE ROW",IF(COUNTIF(Clients!$A$5:$A$404,C618)=0,"CLIENT NOT FOUND",IF(COUNTIFS(Clients!$A$5:$A$404,C618,Clients!$B$5:$B$404,"Active")=0,"CLIENT NOT ACTIVE",IF(COUNTIF(Teams!$A$5:$A$104,D618)=0,"TEAM NOT FOUND","OK")))))</x:f>
      </x:c>
    </x:row>
    <x:row r="619">
      <x:c r="E619" s="102"/>
      <x:c r="G619" s="100" t="str">
        <x:f>IF(COUNTA(A619:F619)=0,"",IF(OR(A619="",B619="",C619="",D619=""),"COMPLETE ROW",IF(COUNTIF(Clients!$A$5:$A$404,C619)=0,"CLIENT NOT FOUND",IF(COUNTIFS(Clients!$A$5:$A$404,C619,Clients!$B$5:$B$404,"Active")=0,"CLIENT NOT ACTIVE",IF(COUNTIF(Teams!$A$5:$A$104,D619)=0,"TEAM NOT FOUND","OK")))))</x:f>
      </x:c>
    </x:row>
    <x:row r="620">
      <x:c r="E620" s="102"/>
      <x:c r="G620" s="100" t="str">
        <x:f>IF(COUNTA(A620:F620)=0,"",IF(OR(A620="",B620="",C620="",D620=""),"COMPLETE ROW",IF(COUNTIF(Clients!$A$5:$A$404,C620)=0,"CLIENT NOT FOUND",IF(COUNTIFS(Clients!$A$5:$A$404,C620,Clients!$B$5:$B$404,"Active")=0,"CLIENT NOT ACTIVE",IF(COUNTIF(Teams!$A$5:$A$104,D620)=0,"TEAM NOT FOUND","OK")))))</x:f>
      </x:c>
    </x:row>
    <x:row r="621">
      <x:c r="E621" s="102"/>
      <x:c r="G621" s="100" t="str">
        <x:f>IF(COUNTA(A621:F621)=0,"",IF(OR(A621="",B621="",C621="",D621=""),"COMPLETE ROW",IF(COUNTIF(Clients!$A$5:$A$404,C621)=0,"CLIENT NOT FOUND",IF(COUNTIFS(Clients!$A$5:$A$404,C621,Clients!$B$5:$B$404,"Active")=0,"CLIENT NOT ACTIVE",IF(COUNTIF(Teams!$A$5:$A$104,D621)=0,"TEAM NOT FOUND","OK")))))</x:f>
      </x:c>
    </x:row>
    <x:row r="622">
      <x:c r="E622" s="102"/>
      <x:c r="G622" s="100" t="str">
        <x:f>IF(COUNTA(A622:F622)=0,"",IF(OR(A622="",B622="",C622="",D622=""),"COMPLETE ROW",IF(COUNTIF(Clients!$A$5:$A$404,C622)=0,"CLIENT NOT FOUND",IF(COUNTIFS(Clients!$A$5:$A$404,C622,Clients!$B$5:$B$404,"Active")=0,"CLIENT NOT ACTIVE",IF(COUNTIF(Teams!$A$5:$A$104,D622)=0,"TEAM NOT FOUND","OK")))))</x:f>
      </x:c>
    </x:row>
    <x:row r="623">
      <x:c r="E623" s="102"/>
      <x:c r="G623" s="100" t="str">
        <x:f>IF(COUNTA(A623:F623)=0,"",IF(OR(A623="",B623="",C623="",D623=""),"COMPLETE ROW",IF(COUNTIF(Clients!$A$5:$A$404,C623)=0,"CLIENT NOT FOUND",IF(COUNTIFS(Clients!$A$5:$A$404,C623,Clients!$B$5:$B$404,"Active")=0,"CLIENT NOT ACTIVE",IF(COUNTIF(Teams!$A$5:$A$104,D623)=0,"TEAM NOT FOUND","OK")))))</x:f>
      </x:c>
    </x:row>
    <x:row r="624">
      <x:c r="E624" s="102"/>
      <x:c r="G624" s="100" t="str">
        <x:f>IF(COUNTA(A624:F624)=0,"",IF(OR(A624="",B624="",C624="",D624=""),"COMPLETE ROW",IF(COUNTIF(Clients!$A$5:$A$404,C624)=0,"CLIENT NOT FOUND",IF(COUNTIFS(Clients!$A$5:$A$404,C624,Clients!$B$5:$B$404,"Active")=0,"CLIENT NOT ACTIVE",IF(COUNTIF(Teams!$A$5:$A$104,D624)=0,"TEAM NOT FOUND","OK")))))</x:f>
      </x:c>
    </x:row>
    <x:row r="625">
      <x:c r="E625" s="102"/>
      <x:c r="G625" s="100" t="str">
        <x:f>IF(COUNTA(A625:F625)=0,"",IF(OR(A625="",B625="",C625="",D625=""),"COMPLETE ROW",IF(COUNTIF(Clients!$A$5:$A$404,C625)=0,"CLIENT NOT FOUND",IF(COUNTIFS(Clients!$A$5:$A$404,C625,Clients!$B$5:$B$404,"Active")=0,"CLIENT NOT ACTIVE",IF(COUNTIF(Teams!$A$5:$A$104,D625)=0,"TEAM NOT FOUND","OK")))))</x:f>
      </x:c>
    </x:row>
    <x:row r="626">
      <x:c r="E626" s="102"/>
      <x:c r="G626" s="100" t="str">
        <x:f>IF(COUNTA(A626:F626)=0,"",IF(OR(A626="",B626="",C626="",D626=""),"COMPLETE ROW",IF(COUNTIF(Clients!$A$5:$A$404,C626)=0,"CLIENT NOT FOUND",IF(COUNTIFS(Clients!$A$5:$A$404,C626,Clients!$B$5:$B$404,"Active")=0,"CLIENT NOT ACTIVE",IF(COUNTIF(Teams!$A$5:$A$104,D626)=0,"TEAM NOT FOUND","OK")))))</x:f>
      </x:c>
    </x:row>
    <x:row r="627">
      <x:c r="E627" s="102"/>
      <x:c r="G627" s="100" t="str">
        <x:f>IF(COUNTA(A627:F627)=0,"",IF(OR(A627="",B627="",C627="",D627=""),"COMPLETE ROW",IF(COUNTIF(Clients!$A$5:$A$404,C627)=0,"CLIENT NOT FOUND",IF(COUNTIFS(Clients!$A$5:$A$404,C627,Clients!$B$5:$B$404,"Active")=0,"CLIENT NOT ACTIVE",IF(COUNTIF(Teams!$A$5:$A$104,D627)=0,"TEAM NOT FOUND","OK")))))</x:f>
      </x:c>
    </x:row>
    <x:row r="628">
      <x:c r="E628" s="102"/>
      <x:c r="G628" s="100" t="str">
        <x:f>IF(COUNTA(A628:F628)=0,"",IF(OR(A628="",B628="",C628="",D628=""),"COMPLETE ROW",IF(COUNTIF(Clients!$A$5:$A$404,C628)=0,"CLIENT NOT FOUND",IF(COUNTIFS(Clients!$A$5:$A$404,C628,Clients!$B$5:$B$404,"Active")=0,"CLIENT NOT ACTIVE",IF(COUNTIF(Teams!$A$5:$A$104,D628)=0,"TEAM NOT FOUND","OK")))))</x:f>
      </x:c>
    </x:row>
    <x:row r="629">
      <x:c r="E629" s="102"/>
      <x:c r="G629" s="100" t="str">
        <x:f>IF(COUNTA(A629:F629)=0,"",IF(OR(A629="",B629="",C629="",D629=""),"COMPLETE ROW",IF(COUNTIF(Clients!$A$5:$A$404,C629)=0,"CLIENT NOT FOUND",IF(COUNTIFS(Clients!$A$5:$A$404,C629,Clients!$B$5:$B$404,"Active")=0,"CLIENT NOT ACTIVE",IF(COUNTIF(Teams!$A$5:$A$104,D629)=0,"TEAM NOT FOUND","OK")))))</x:f>
      </x:c>
    </x:row>
    <x:row r="630">
      <x:c r="E630" s="102"/>
      <x:c r="G630" s="100" t="str">
        <x:f>IF(COUNTA(A630:F630)=0,"",IF(OR(A630="",B630="",C630="",D630=""),"COMPLETE ROW",IF(COUNTIF(Clients!$A$5:$A$404,C630)=0,"CLIENT NOT FOUND",IF(COUNTIFS(Clients!$A$5:$A$404,C630,Clients!$B$5:$B$404,"Active")=0,"CLIENT NOT ACTIVE",IF(COUNTIF(Teams!$A$5:$A$104,D630)=0,"TEAM NOT FOUND","OK")))))</x:f>
      </x:c>
    </x:row>
    <x:row r="631">
      <x:c r="E631" s="102"/>
      <x:c r="G631" s="100" t="str">
        <x:f>IF(COUNTA(A631:F631)=0,"",IF(OR(A631="",B631="",C631="",D631=""),"COMPLETE ROW",IF(COUNTIF(Clients!$A$5:$A$404,C631)=0,"CLIENT NOT FOUND",IF(COUNTIFS(Clients!$A$5:$A$404,C631,Clients!$B$5:$B$404,"Active")=0,"CLIENT NOT ACTIVE",IF(COUNTIF(Teams!$A$5:$A$104,D631)=0,"TEAM NOT FOUND","OK")))))</x:f>
      </x:c>
    </x:row>
    <x:row r="632">
      <x:c r="E632" s="102"/>
      <x:c r="G632" s="100" t="str">
        <x:f>IF(COUNTA(A632:F632)=0,"",IF(OR(A632="",B632="",C632="",D632=""),"COMPLETE ROW",IF(COUNTIF(Clients!$A$5:$A$404,C632)=0,"CLIENT NOT FOUND",IF(COUNTIFS(Clients!$A$5:$A$404,C632,Clients!$B$5:$B$404,"Active")=0,"CLIENT NOT ACTIVE",IF(COUNTIF(Teams!$A$5:$A$104,D632)=0,"TEAM NOT FOUND","OK")))))</x:f>
      </x:c>
    </x:row>
    <x:row r="633">
      <x:c r="E633" s="102"/>
      <x:c r="G633" s="100" t="str">
        <x:f>IF(COUNTA(A633:F633)=0,"",IF(OR(A633="",B633="",C633="",D633=""),"COMPLETE ROW",IF(COUNTIF(Clients!$A$5:$A$404,C633)=0,"CLIENT NOT FOUND",IF(COUNTIFS(Clients!$A$5:$A$404,C633,Clients!$B$5:$B$404,"Active")=0,"CLIENT NOT ACTIVE",IF(COUNTIF(Teams!$A$5:$A$104,D633)=0,"TEAM NOT FOUND","OK")))))</x:f>
      </x:c>
    </x:row>
    <x:row r="634">
      <x:c r="E634" s="102"/>
      <x:c r="G634" s="100" t="str">
        <x:f>IF(COUNTA(A634:F634)=0,"",IF(OR(A634="",B634="",C634="",D634=""),"COMPLETE ROW",IF(COUNTIF(Clients!$A$5:$A$404,C634)=0,"CLIENT NOT FOUND",IF(COUNTIFS(Clients!$A$5:$A$404,C634,Clients!$B$5:$B$404,"Active")=0,"CLIENT NOT ACTIVE",IF(COUNTIF(Teams!$A$5:$A$104,D634)=0,"TEAM NOT FOUND","OK")))))</x:f>
      </x:c>
    </x:row>
    <x:row r="635">
      <x:c r="E635" s="102"/>
      <x:c r="G635" s="100" t="str">
        <x:f>IF(COUNTA(A635:F635)=0,"",IF(OR(A635="",B635="",C635="",D635=""),"COMPLETE ROW",IF(COUNTIF(Clients!$A$5:$A$404,C635)=0,"CLIENT NOT FOUND",IF(COUNTIFS(Clients!$A$5:$A$404,C635,Clients!$B$5:$B$404,"Active")=0,"CLIENT NOT ACTIVE",IF(COUNTIF(Teams!$A$5:$A$104,D635)=0,"TEAM NOT FOUND","OK")))))</x:f>
      </x:c>
    </x:row>
    <x:row r="636">
      <x:c r="E636" s="102"/>
      <x:c r="G636" s="100" t="str">
        <x:f>IF(COUNTA(A636:F636)=0,"",IF(OR(A636="",B636="",C636="",D636=""),"COMPLETE ROW",IF(COUNTIF(Clients!$A$5:$A$404,C636)=0,"CLIENT NOT FOUND",IF(COUNTIFS(Clients!$A$5:$A$404,C636,Clients!$B$5:$B$404,"Active")=0,"CLIENT NOT ACTIVE",IF(COUNTIF(Teams!$A$5:$A$104,D636)=0,"TEAM NOT FOUND","OK")))))</x:f>
      </x:c>
    </x:row>
    <x:row r="637">
      <x:c r="E637" s="102"/>
      <x:c r="G637" s="100" t="str">
        <x:f>IF(COUNTA(A637:F637)=0,"",IF(OR(A637="",B637="",C637="",D637=""),"COMPLETE ROW",IF(COUNTIF(Clients!$A$5:$A$404,C637)=0,"CLIENT NOT FOUND",IF(COUNTIFS(Clients!$A$5:$A$404,C637,Clients!$B$5:$B$404,"Active")=0,"CLIENT NOT ACTIVE",IF(COUNTIF(Teams!$A$5:$A$104,D637)=0,"TEAM NOT FOUND","OK")))))</x:f>
      </x:c>
    </x:row>
    <x:row r="638">
      <x:c r="E638" s="102"/>
      <x:c r="G638" s="100" t="str">
        <x:f>IF(COUNTA(A638:F638)=0,"",IF(OR(A638="",B638="",C638="",D638=""),"COMPLETE ROW",IF(COUNTIF(Clients!$A$5:$A$404,C638)=0,"CLIENT NOT FOUND",IF(COUNTIFS(Clients!$A$5:$A$404,C638,Clients!$B$5:$B$404,"Active")=0,"CLIENT NOT ACTIVE",IF(COUNTIF(Teams!$A$5:$A$104,D638)=0,"TEAM NOT FOUND","OK")))))</x:f>
      </x:c>
    </x:row>
    <x:row r="639">
      <x:c r="E639" s="102"/>
      <x:c r="G639" s="100" t="str">
        <x:f>IF(COUNTA(A639:F639)=0,"",IF(OR(A639="",B639="",C639="",D639=""),"COMPLETE ROW",IF(COUNTIF(Clients!$A$5:$A$404,C639)=0,"CLIENT NOT FOUND",IF(COUNTIFS(Clients!$A$5:$A$404,C639,Clients!$B$5:$B$404,"Active")=0,"CLIENT NOT ACTIVE",IF(COUNTIF(Teams!$A$5:$A$104,D639)=0,"TEAM NOT FOUND","OK")))))</x:f>
      </x:c>
    </x:row>
    <x:row r="640">
      <x:c r="E640" s="102"/>
      <x:c r="G640" s="100" t="str">
        <x:f>IF(COUNTA(A640:F640)=0,"",IF(OR(A640="",B640="",C640="",D640=""),"COMPLETE ROW",IF(COUNTIF(Clients!$A$5:$A$404,C640)=0,"CLIENT NOT FOUND",IF(COUNTIFS(Clients!$A$5:$A$404,C640,Clients!$B$5:$B$404,"Active")=0,"CLIENT NOT ACTIVE",IF(COUNTIF(Teams!$A$5:$A$104,D640)=0,"TEAM NOT FOUND","OK")))))</x:f>
      </x:c>
    </x:row>
    <x:row r="641">
      <x:c r="E641" s="102"/>
      <x:c r="G641" s="100" t="str">
        <x:f>IF(COUNTA(A641:F641)=0,"",IF(OR(A641="",B641="",C641="",D641=""),"COMPLETE ROW",IF(COUNTIF(Clients!$A$5:$A$404,C641)=0,"CLIENT NOT FOUND",IF(COUNTIFS(Clients!$A$5:$A$404,C641,Clients!$B$5:$B$404,"Active")=0,"CLIENT NOT ACTIVE",IF(COUNTIF(Teams!$A$5:$A$104,D641)=0,"TEAM NOT FOUND","OK")))))</x:f>
      </x:c>
    </x:row>
    <x:row r="642">
      <x:c r="E642" s="102"/>
      <x:c r="G642" s="100" t="str">
        <x:f>IF(COUNTA(A642:F642)=0,"",IF(OR(A642="",B642="",C642="",D642=""),"COMPLETE ROW",IF(COUNTIF(Clients!$A$5:$A$404,C642)=0,"CLIENT NOT FOUND",IF(COUNTIFS(Clients!$A$5:$A$404,C642,Clients!$B$5:$B$404,"Active")=0,"CLIENT NOT ACTIVE",IF(COUNTIF(Teams!$A$5:$A$104,D642)=0,"TEAM NOT FOUND","OK")))))</x:f>
      </x:c>
    </x:row>
    <x:row r="643">
      <x:c r="E643" s="102"/>
      <x:c r="G643" s="100" t="str">
        <x:f>IF(COUNTA(A643:F643)=0,"",IF(OR(A643="",B643="",C643="",D643=""),"COMPLETE ROW",IF(COUNTIF(Clients!$A$5:$A$404,C643)=0,"CLIENT NOT FOUND",IF(COUNTIFS(Clients!$A$5:$A$404,C643,Clients!$B$5:$B$404,"Active")=0,"CLIENT NOT ACTIVE",IF(COUNTIF(Teams!$A$5:$A$104,D643)=0,"TEAM NOT FOUND","OK")))))</x:f>
      </x:c>
    </x:row>
    <x:row r="644">
      <x:c r="E644" s="102"/>
      <x:c r="G644" s="100" t="str">
        <x:f>IF(COUNTA(A644:F644)=0,"",IF(OR(A644="",B644="",C644="",D644=""),"COMPLETE ROW",IF(COUNTIF(Clients!$A$5:$A$404,C644)=0,"CLIENT NOT FOUND",IF(COUNTIFS(Clients!$A$5:$A$404,C644,Clients!$B$5:$B$404,"Active")=0,"CLIENT NOT ACTIVE",IF(COUNTIF(Teams!$A$5:$A$104,D644)=0,"TEAM NOT FOUND","OK")))))</x:f>
      </x:c>
    </x:row>
    <x:row r="645">
      <x:c r="E645" s="102"/>
      <x:c r="G645" s="100" t="str">
        <x:f>IF(COUNTA(A645:F645)=0,"",IF(OR(A645="",B645="",C645="",D645=""),"COMPLETE ROW",IF(COUNTIF(Clients!$A$5:$A$404,C645)=0,"CLIENT NOT FOUND",IF(COUNTIFS(Clients!$A$5:$A$404,C645,Clients!$B$5:$B$404,"Active")=0,"CLIENT NOT ACTIVE",IF(COUNTIF(Teams!$A$5:$A$104,D645)=0,"TEAM NOT FOUND","OK")))))</x:f>
      </x:c>
    </x:row>
    <x:row r="646">
      <x:c r="E646" s="102"/>
      <x:c r="G646" s="100" t="str">
        <x:f>IF(COUNTA(A646:F646)=0,"",IF(OR(A646="",B646="",C646="",D646=""),"COMPLETE ROW",IF(COUNTIF(Clients!$A$5:$A$404,C646)=0,"CLIENT NOT FOUND",IF(COUNTIFS(Clients!$A$5:$A$404,C646,Clients!$B$5:$B$404,"Active")=0,"CLIENT NOT ACTIVE",IF(COUNTIF(Teams!$A$5:$A$104,D646)=0,"TEAM NOT FOUND","OK")))))</x:f>
      </x:c>
    </x:row>
    <x:row r="647">
      <x:c r="E647" s="102"/>
      <x:c r="G647" s="100" t="str">
        <x:f>IF(COUNTA(A647:F647)=0,"",IF(OR(A647="",B647="",C647="",D647=""),"COMPLETE ROW",IF(COUNTIF(Clients!$A$5:$A$404,C647)=0,"CLIENT NOT FOUND",IF(COUNTIFS(Clients!$A$5:$A$404,C647,Clients!$B$5:$B$404,"Active")=0,"CLIENT NOT ACTIVE",IF(COUNTIF(Teams!$A$5:$A$104,D647)=0,"TEAM NOT FOUND","OK")))))</x:f>
      </x:c>
    </x:row>
    <x:row r="648">
      <x:c r="E648" s="102"/>
      <x:c r="G648" s="100" t="str">
        <x:f>IF(COUNTA(A648:F648)=0,"",IF(OR(A648="",B648="",C648="",D648=""),"COMPLETE ROW",IF(COUNTIF(Clients!$A$5:$A$404,C648)=0,"CLIENT NOT FOUND",IF(COUNTIFS(Clients!$A$5:$A$404,C648,Clients!$B$5:$B$404,"Active")=0,"CLIENT NOT ACTIVE",IF(COUNTIF(Teams!$A$5:$A$104,D648)=0,"TEAM NOT FOUND","OK")))))</x:f>
      </x:c>
    </x:row>
    <x:row r="649">
      <x:c r="E649" s="102"/>
      <x:c r="G649" s="100" t="str">
        <x:f>IF(COUNTA(A649:F649)=0,"",IF(OR(A649="",B649="",C649="",D649=""),"COMPLETE ROW",IF(COUNTIF(Clients!$A$5:$A$404,C649)=0,"CLIENT NOT FOUND",IF(COUNTIFS(Clients!$A$5:$A$404,C649,Clients!$B$5:$B$404,"Active")=0,"CLIENT NOT ACTIVE",IF(COUNTIF(Teams!$A$5:$A$104,D649)=0,"TEAM NOT FOUND","OK")))))</x:f>
      </x:c>
    </x:row>
    <x:row r="650">
      <x:c r="E650" s="102"/>
      <x:c r="G650" s="100" t="str">
        <x:f>IF(COUNTA(A650:F650)=0,"",IF(OR(A650="",B650="",C650="",D650=""),"COMPLETE ROW",IF(COUNTIF(Clients!$A$5:$A$404,C650)=0,"CLIENT NOT FOUND",IF(COUNTIFS(Clients!$A$5:$A$404,C650,Clients!$B$5:$B$404,"Active")=0,"CLIENT NOT ACTIVE",IF(COUNTIF(Teams!$A$5:$A$104,D650)=0,"TEAM NOT FOUND","OK")))))</x:f>
      </x:c>
    </x:row>
    <x:row r="651">
      <x:c r="E651" s="102"/>
      <x:c r="G651" s="100" t="str">
        <x:f>IF(COUNTA(A651:F651)=0,"",IF(OR(A651="",B651="",C651="",D651=""),"COMPLETE ROW",IF(COUNTIF(Clients!$A$5:$A$404,C651)=0,"CLIENT NOT FOUND",IF(COUNTIFS(Clients!$A$5:$A$404,C651,Clients!$B$5:$B$404,"Active")=0,"CLIENT NOT ACTIVE",IF(COUNTIF(Teams!$A$5:$A$104,D651)=0,"TEAM NOT FOUND","OK")))))</x:f>
      </x:c>
    </x:row>
    <x:row r="652">
      <x:c r="E652" s="102"/>
      <x:c r="G652" s="100" t="str">
        <x:f>IF(COUNTA(A652:F652)=0,"",IF(OR(A652="",B652="",C652="",D652=""),"COMPLETE ROW",IF(COUNTIF(Clients!$A$5:$A$404,C652)=0,"CLIENT NOT FOUND",IF(COUNTIFS(Clients!$A$5:$A$404,C652,Clients!$B$5:$B$404,"Active")=0,"CLIENT NOT ACTIVE",IF(COUNTIF(Teams!$A$5:$A$104,D652)=0,"TEAM NOT FOUND","OK")))))</x:f>
      </x:c>
    </x:row>
    <x:row r="653">
      <x:c r="E653" s="102"/>
      <x:c r="G653" s="100" t="str">
        <x:f>IF(COUNTA(A653:F653)=0,"",IF(OR(A653="",B653="",C653="",D653=""),"COMPLETE ROW",IF(COUNTIF(Clients!$A$5:$A$404,C653)=0,"CLIENT NOT FOUND",IF(COUNTIFS(Clients!$A$5:$A$404,C653,Clients!$B$5:$B$404,"Active")=0,"CLIENT NOT ACTIVE",IF(COUNTIF(Teams!$A$5:$A$104,D653)=0,"TEAM NOT FOUND","OK")))))</x:f>
      </x:c>
    </x:row>
    <x:row r="654">
      <x:c r="E654" s="102"/>
      <x:c r="G654" s="100" t="str">
        <x:f>IF(COUNTA(A654:F654)=0,"",IF(OR(A654="",B654="",C654="",D654=""),"COMPLETE ROW",IF(COUNTIF(Clients!$A$5:$A$404,C654)=0,"CLIENT NOT FOUND",IF(COUNTIFS(Clients!$A$5:$A$404,C654,Clients!$B$5:$B$404,"Active")=0,"CLIENT NOT ACTIVE",IF(COUNTIF(Teams!$A$5:$A$104,D654)=0,"TEAM NOT FOUND","OK")))))</x:f>
      </x:c>
    </x:row>
    <x:row r="655">
      <x:c r="E655" s="102"/>
      <x:c r="G655" s="100" t="str">
        <x:f>IF(COUNTA(A655:F655)=0,"",IF(OR(A655="",B655="",C655="",D655=""),"COMPLETE ROW",IF(COUNTIF(Clients!$A$5:$A$404,C655)=0,"CLIENT NOT FOUND",IF(COUNTIFS(Clients!$A$5:$A$404,C655,Clients!$B$5:$B$404,"Active")=0,"CLIENT NOT ACTIVE",IF(COUNTIF(Teams!$A$5:$A$104,D655)=0,"TEAM NOT FOUND","OK")))))</x:f>
      </x:c>
    </x:row>
    <x:row r="656">
      <x:c r="E656" s="102"/>
      <x:c r="G656" s="100" t="str">
        <x:f>IF(COUNTA(A656:F656)=0,"",IF(OR(A656="",B656="",C656="",D656=""),"COMPLETE ROW",IF(COUNTIF(Clients!$A$5:$A$404,C656)=0,"CLIENT NOT FOUND",IF(COUNTIFS(Clients!$A$5:$A$404,C656,Clients!$B$5:$B$404,"Active")=0,"CLIENT NOT ACTIVE",IF(COUNTIF(Teams!$A$5:$A$104,D656)=0,"TEAM NOT FOUND","OK")))))</x:f>
      </x:c>
    </x:row>
    <x:row r="657">
      <x:c r="E657" s="102"/>
      <x:c r="G657" s="100" t="str">
        <x:f>IF(COUNTA(A657:F657)=0,"",IF(OR(A657="",B657="",C657="",D657=""),"COMPLETE ROW",IF(COUNTIF(Clients!$A$5:$A$404,C657)=0,"CLIENT NOT FOUND",IF(COUNTIFS(Clients!$A$5:$A$404,C657,Clients!$B$5:$B$404,"Active")=0,"CLIENT NOT ACTIVE",IF(COUNTIF(Teams!$A$5:$A$104,D657)=0,"TEAM NOT FOUND","OK")))))</x:f>
      </x:c>
    </x:row>
    <x:row r="658">
      <x:c r="E658" s="102"/>
      <x:c r="G658" s="100" t="str">
        <x:f>IF(COUNTA(A658:F658)=0,"",IF(OR(A658="",B658="",C658="",D658=""),"COMPLETE ROW",IF(COUNTIF(Clients!$A$5:$A$404,C658)=0,"CLIENT NOT FOUND",IF(COUNTIFS(Clients!$A$5:$A$404,C658,Clients!$B$5:$B$404,"Active")=0,"CLIENT NOT ACTIVE",IF(COUNTIF(Teams!$A$5:$A$104,D658)=0,"TEAM NOT FOUND","OK")))))</x:f>
      </x:c>
    </x:row>
    <x:row r="659">
      <x:c r="E659" s="102"/>
      <x:c r="G659" s="100" t="str">
        <x:f>IF(COUNTA(A659:F659)=0,"",IF(OR(A659="",B659="",C659="",D659=""),"COMPLETE ROW",IF(COUNTIF(Clients!$A$5:$A$404,C659)=0,"CLIENT NOT FOUND",IF(COUNTIFS(Clients!$A$5:$A$404,C659,Clients!$B$5:$B$404,"Active")=0,"CLIENT NOT ACTIVE",IF(COUNTIF(Teams!$A$5:$A$104,D659)=0,"TEAM NOT FOUND","OK")))))</x:f>
      </x:c>
    </x:row>
    <x:row r="660">
      <x:c r="E660" s="102"/>
      <x:c r="G660" s="100" t="str">
        <x:f>IF(COUNTA(A660:F660)=0,"",IF(OR(A660="",B660="",C660="",D660=""),"COMPLETE ROW",IF(COUNTIF(Clients!$A$5:$A$404,C660)=0,"CLIENT NOT FOUND",IF(COUNTIFS(Clients!$A$5:$A$404,C660,Clients!$B$5:$B$404,"Active")=0,"CLIENT NOT ACTIVE",IF(COUNTIF(Teams!$A$5:$A$104,D660)=0,"TEAM NOT FOUND","OK")))))</x:f>
      </x:c>
    </x:row>
    <x:row r="661">
      <x:c r="E661" s="102"/>
      <x:c r="G661" s="100" t="str">
        <x:f>IF(COUNTA(A661:F661)=0,"",IF(OR(A661="",B661="",C661="",D661=""),"COMPLETE ROW",IF(COUNTIF(Clients!$A$5:$A$404,C661)=0,"CLIENT NOT FOUND",IF(COUNTIFS(Clients!$A$5:$A$404,C661,Clients!$B$5:$B$404,"Active")=0,"CLIENT NOT ACTIVE",IF(COUNTIF(Teams!$A$5:$A$104,D661)=0,"TEAM NOT FOUND","OK")))))</x:f>
      </x:c>
    </x:row>
    <x:row r="662">
      <x:c r="E662" s="102"/>
      <x:c r="G662" s="100" t="str">
        <x:f>IF(COUNTA(A662:F662)=0,"",IF(OR(A662="",B662="",C662="",D662=""),"COMPLETE ROW",IF(COUNTIF(Clients!$A$5:$A$404,C662)=0,"CLIENT NOT FOUND",IF(COUNTIFS(Clients!$A$5:$A$404,C662,Clients!$B$5:$B$404,"Active")=0,"CLIENT NOT ACTIVE",IF(COUNTIF(Teams!$A$5:$A$104,D662)=0,"TEAM NOT FOUND","OK")))))</x:f>
      </x:c>
    </x:row>
    <x:row r="663">
      <x:c r="E663" s="102"/>
      <x:c r="G663" s="100" t="str">
        <x:f>IF(COUNTA(A663:F663)=0,"",IF(OR(A663="",B663="",C663="",D663=""),"COMPLETE ROW",IF(COUNTIF(Clients!$A$5:$A$404,C663)=0,"CLIENT NOT FOUND",IF(COUNTIFS(Clients!$A$5:$A$404,C663,Clients!$B$5:$B$404,"Active")=0,"CLIENT NOT ACTIVE",IF(COUNTIF(Teams!$A$5:$A$104,D663)=0,"TEAM NOT FOUND","OK")))))</x:f>
      </x:c>
    </x:row>
    <x:row r="664">
      <x:c r="E664" s="102"/>
      <x:c r="G664" s="100" t="str">
        <x:f>IF(COUNTA(A664:F664)=0,"",IF(OR(A664="",B664="",C664="",D664=""),"COMPLETE ROW",IF(COUNTIF(Clients!$A$5:$A$404,C664)=0,"CLIENT NOT FOUND",IF(COUNTIFS(Clients!$A$5:$A$404,C664,Clients!$B$5:$B$404,"Active")=0,"CLIENT NOT ACTIVE",IF(COUNTIF(Teams!$A$5:$A$104,D664)=0,"TEAM NOT FOUND","OK")))))</x:f>
      </x:c>
    </x:row>
    <x:row r="665">
      <x:c r="E665" s="102"/>
      <x:c r="G665" s="100" t="str">
        <x:f>IF(COUNTA(A665:F665)=0,"",IF(OR(A665="",B665="",C665="",D665=""),"COMPLETE ROW",IF(COUNTIF(Clients!$A$5:$A$404,C665)=0,"CLIENT NOT FOUND",IF(COUNTIFS(Clients!$A$5:$A$404,C665,Clients!$B$5:$B$404,"Active")=0,"CLIENT NOT ACTIVE",IF(COUNTIF(Teams!$A$5:$A$104,D665)=0,"TEAM NOT FOUND","OK")))))</x:f>
      </x:c>
    </x:row>
    <x:row r="666">
      <x:c r="E666" s="102"/>
      <x:c r="G666" s="100" t="str">
        <x:f>IF(COUNTA(A666:F666)=0,"",IF(OR(A666="",B666="",C666="",D666=""),"COMPLETE ROW",IF(COUNTIF(Clients!$A$5:$A$404,C666)=0,"CLIENT NOT FOUND",IF(COUNTIFS(Clients!$A$5:$A$404,C666,Clients!$B$5:$B$404,"Active")=0,"CLIENT NOT ACTIVE",IF(COUNTIF(Teams!$A$5:$A$104,D666)=0,"TEAM NOT FOUND","OK")))))</x:f>
      </x:c>
    </x:row>
    <x:row r="667">
      <x:c r="E667" s="102"/>
      <x:c r="G667" s="100" t="str">
        <x:f>IF(COUNTA(A667:F667)=0,"",IF(OR(A667="",B667="",C667="",D667=""),"COMPLETE ROW",IF(COUNTIF(Clients!$A$5:$A$404,C667)=0,"CLIENT NOT FOUND",IF(COUNTIFS(Clients!$A$5:$A$404,C667,Clients!$B$5:$B$404,"Active")=0,"CLIENT NOT ACTIVE",IF(COUNTIF(Teams!$A$5:$A$104,D667)=0,"TEAM NOT FOUND","OK")))))</x:f>
      </x:c>
    </x:row>
    <x:row r="668">
      <x:c r="E668" s="102"/>
      <x:c r="G668" s="100" t="str">
        <x:f>IF(COUNTA(A668:F668)=0,"",IF(OR(A668="",B668="",C668="",D668=""),"COMPLETE ROW",IF(COUNTIF(Clients!$A$5:$A$404,C668)=0,"CLIENT NOT FOUND",IF(COUNTIFS(Clients!$A$5:$A$404,C668,Clients!$B$5:$B$404,"Active")=0,"CLIENT NOT ACTIVE",IF(COUNTIF(Teams!$A$5:$A$104,D668)=0,"TEAM NOT FOUND","OK")))))</x:f>
      </x:c>
    </x:row>
    <x:row r="669">
      <x:c r="E669" s="102"/>
      <x:c r="G669" s="100" t="str">
        <x:f>IF(COUNTA(A669:F669)=0,"",IF(OR(A669="",B669="",C669="",D669=""),"COMPLETE ROW",IF(COUNTIF(Clients!$A$5:$A$404,C669)=0,"CLIENT NOT FOUND",IF(COUNTIFS(Clients!$A$5:$A$404,C669,Clients!$B$5:$B$404,"Active")=0,"CLIENT NOT ACTIVE",IF(COUNTIF(Teams!$A$5:$A$104,D669)=0,"TEAM NOT FOUND","OK")))))</x:f>
      </x:c>
    </x:row>
    <x:row r="670">
      <x:c r="E670" s="102"/>
      <x:c r="G670" s="100" t="str">
        <x:f>IF(COUNTA(A670:F670)=0,"",IF(OR(A670="",B670="",C670="",D670=""),"COMPLETE ROW",IF(COUNTIF(Clients!$A$5:$A$404,C670)=0,"CLIENT NOT FOUND",IF(COUNTIFS(Clients!$A$5:$A$404,C670,Clients!$B$5:$B$404,"Active")=0,"CLIENT NOT ACTIVE",IF(COUNTIF(Teams!$A$5:$A$104,D670)=0,"TEAM NOT FOUND","OK")))))</x:f>
      </x:c>
    </x:row>
    <x:row r="671">
      <x:c r="E671" s="102"/>
      <x:c r="G671" s="100" t="str">
        <x:f>IF(COUNTA(A671:F671)=0,"",IF(OR(A671="",B671="",C671="",D671=""),"COMPLETE ROW",IF(COUNTIF(Clients!$A$5:$A$404,C671)=0,"CLIENT NOT FOUND",IF(COUNTIFS(Clients!$A$5:$A$404,C671,Clients!$B$5:$B$404,"Active")=0,"CLIENT NOT ACTIVE",IF(COUNTIF(Teams!$A$5:$A$104,D671)=0,"TEAM NOT FOUND","OK")))))</x:f>
      </x:c>
    </x:row>
    <x:row r="672">
      <x:c r="E672" s="102"/>
      <x:c r="G672" s="100" t="str">
        <x:f>IF(COUNTA(A672:F672)=0,"",IF(OR(A672="",B672="",C672="",D672=""),"COMPLETE ROW",IF(COUNTIF(Clients!$A$5:$A$404,C672)=0,"CLIENT NOT FOUND",IF(COUNTIFS(Clients!$A$5:$A$404,C672,Clients!$B$5:$B$404,"Active")=0,"CLIENT NOT ACTIVE",IF(COUNTIF(Teams!$A$5:$A$104,D672)=0,"TEAM NOT FOUND","OK")))))</x:f>
      </x:c>
    </x:row>
    <x:row r="673">
      <x:c r="E673" s="102"/>
      <x:c r="G673" s="100" t="str">
        <x:f>IF(COUNTA(A673:F673)=0,"",IF(OR(A673="",B673="",C673="",D673=""),"COMPLETE ROW",IF(COUNTIF(Clients!$A$5:$A$404,C673)=0,"CLIENT NOT FOUND",IF(COUNTIFS(Clients!$A$5:$A$404,C673,Clients!$B$5:$B$404,"Active")=0,"CLIENT NOT ACTIVE",IF(COUNTIF(Teams!$A$5:$A$104,D673)=0,"TEAM NOT FOUND","OK")))))</x:f>
      </x:c>
    </x:row>
    <x:row r="674">
      <x:c r="E674" s="102"/>
      <x:c r="G674" s="100" t="str">
        <x:f>IF(COUNTA(A674:F674)=0,"",IF(OR(A674="",B674="",C674="",D674=""),"COMPLETE ROW",IF(COUNTIF(Clients!$A$5:$A$404,C674)=0,"CLIENT NOT FOUND",IF(COUNTIFS(Clients!$A$5:$A$404,C674,Clients!$B$5:$B$404,"Active")=0,"CLIENT NOT ACTIVE",IF(COUNTIF(Teams!$A$5:$A$104,D674)=0,"TEAM NOT FOUND","OK")))))</x:f>
      </x:c>
    </x:row>
    <x:row r="675">
      <x:c r="E675" s="102"/>
      <x:c r="G675" s="100" t="str">
        <x:f>IF(COUNTA(A675:F675)=0,"",IF(OR(A675="",B675="",C675="",D675=""),"COMPLETE ROW",IF(COUNTIF(Clients!$A$5:$A$404,C675)=0,"CLIENT NOT FOUND",IF(COUNTIFS(Clients!$A$5:$A$404,C675,Clients!$B$5:$B$404,"Active")=0,"CLIENT NOT ACTIVE",IF(COUNTIF(Teams!$A$5:$A$104,D675)=0,"TEAM NOT FOUND","OK")))))</x:f>
      </x:c>
    </x:row>
    <x:row r="676">
      <x:c r="E676" s="102"/>
      <x:c r="G676" s="100" t="str">
        <x:f>IF(COUNTA(A676:F676)=0,"",IF(OR(A676="",B676="",C676="",D676=""),"COMPLETE ROW",IF(COUNTIF(Clients!$A$5:$A$404,C676)=0,"CLIENT NOT FOUND",IF(COUNTIFS(Clients!$A$5:$A$404,C676,Clients!$B$5:$B$404,"Active")=0,"CLIENT NOT ACTIVE",IF(COUNTIF(Teams!$A$5:$A$104,D676)=0,"TEAM NOT FOUND","OK")))))</x:f>
      </x:c>
    </x:row>
    <x:row r="677">
      <x:c r="E677" s="102"/>
      <x:c r="G677" s="100" t="str">
        <x:f>IF(COUNTA(A677:F677)=0,"",IF(OR(A677="",B677="",C677="",D677=""),"COMPLETE ROW",IF(COUNTIF(Clients!$A$5:$A$404,C677)=0,"CLIENT NOT FOUND",IF(COUNTIFS(Clients!$A$5:$A$404,C677,Clients!$B$5:$B$404,"Active")=0,"CLIENT NOT ACTIVE",IF(COUNTIF(Teams!$A$5:$A$104,D677)=0,"TEAM NOT FOUND","OK")))))</x:f>
      </x:c>
    </x:row>
    <x:row r="678">
      <x:c r="E678" s="102"/>
      <x:c r="G678" s="100" t="str">
        <x:f>IF(COUNTA(A678:F678)=0,"",IF(OR(A678="",B678="",C678="",D678=""),"COMPLETE ROW",IF(COUNTIF(Clients!$A$5:$A$404,C678)=0,"CLIENT NOT FOUND",IF(COUNTIFS(Clients!$A$5:$A$404,C678,Clients!$B$5:$B$404,"Active")=0,"CLIENT NOT ACTIVE",IF(COUNTIF(Teams!$A$5:$A$104,D678)=0,"TEAM NOT FOUND","OK")))))</x:f>
      </x:c>
    </x:row>
    <x:row r="679">
      <x:c r="E679" s="102"/>
      <x:c r="G679" s="100" t="str">
        <x:f>IF(COUNTA(A679:F679)=0,"",IF(OR(A679="",B679="",C679="",D679=""),"COMPLETE ROW",IF(COUNTIF(Clients!$A$5:$A$404,C679)=0,"CLIENT NOT FOUND",IF(COUNTIFS(Clients!$A$5:$A$404,C679,Clients!$B$5:$B$404,"Active")=0,"CLIENT NOT ACTIVE",IF(COUNTIF(Teams!$A$5:$A$104,D679)=0,"TEAM NOT FOUND","OK")))))</x:f>
      </x:c>
    </x:row>
    <x:row r="680">
      <x:c r="E680" s="102"/>
      <x:c r="G680" s="100" t="str">
        <x:f>IF(COUNTA(A680:F680)=0,"",IF(OR(A680="",B680="",C680="",D680=""),"COMPLETE ROW",IF(COUNTIF(Clients!$A$5:$A$404,C680)=0,"CLIENT NOT FOUND",IF(COUNTIFS(Clients!$A$5:$A$404,C680,Clients!$B$5:$B$404,"Active")=0,"CLIENT NOT ACTIVE",IF(COUNTIF(Teams!$A$5:$A$104,D680)=0,"TEAM NOT FOUND","OK")))))</x:f>
      </x:c>
    </x:row>
    <x:row r="681">
      <x:c r="E681" s="102"/>
      <x:c r="G681" s="100" t="str">
        <x:f>IF(COUNTA(A681:F681)=0,"",IF(OR(A681="",B681="",C681="",D681=""),"COMPLETE ROW",IF(COUNTIF(Clients!$A$5:$A$404,C681)=0,"CLIENT NOT FOUND",IF(COUNTIFS(Clients!$A$5:$A$404,C681,Clients!$B$5:$B$404,"Active")=0,"CLIENT NOT ACTIVE",IF(COUNTIF(Teams!$A$5:$A$104,D681)=0,"TEAM NOT FOUND","OK")))))</x:f>
      </x:c>
    </x:row>
    <x:row r="682">
      <x:c r="E682" s="102"/>
      <x:c r="G682" s="100" t="str">
        <x:f>IF(COUNTA(A682:F682)=0,"",IF(OR(A682="",B682="",C682="",D682=""),"COMPLETE ROW",IF(COUNTIF(Clients!$A$5:$A$404,C682)=0,"CLIENT NOT FOUND",IF(COUNTIFS(Clients!$A$5:$A$404,C682,Clients!$B$5:$B$404,"Active")=0,"CLIENT NOT ACTIVE",IF(COUNTIF(Teams!$A$5:$A$104,D682)=0,"TEAM NOT FOUND","OK")))))</x:f>
      </x:c>
    </x:row>
    <x:row r="683">
      <x:c r="E683" s="102"/>
      <x:c r="G683" s="100" t="str">
        <x:f>IF(COUNTA(A683:F683)=0,"",IF(OR(A683="",B683="",C683="",D683=""),"COMPLETE ROW",IF(COUNTIF(Clients!$A$5:$A$404,C683)=0,"CLIENT NOT FOUND",IF(COUNTIFS(Clients!$A$5:$A$404,C683,Clients!$B$5:$B$404,"Active")=0,"CLIENT NOT ACTIVE",IF(COUNTIF(Teams!$A$5:$A$104,D683)=0,"TEAM NOT FOUND","OK")))))</x:f>
      </x:c>
    </x:row>
    <x:row r="684">
      <x:c r="E684" s="102"/>
      <x:c r="G684" s="100" t="str">
        <x:f>IF(COUNTA(A684:F684)=0,"",IF(OR(A684="",B684="",C684="",D684=""),"COMPLETE ROW",IF(COUNTIF(Clients!$A$5:$A$404,C684)=0,"CLIENT NOT FOUND",IF(COUNTIFS(Clients!$A$5:$A$404,C684,Clients!$B$5:$B$404,"Active")=0,"CLIENT NOT ACTIVE",IF(COUNTIF(Teams!$A$5:$A$104,D684)=0,"TEAM NOT FOUND","OK")))))</x:f>
      </x:c>
    </x:row>
    <x:row r="685">
      <x:c r="E685" s="102"/>
      <x:c r="G685" s="100" t="str">
        <x:f>IF(COUNTA(A685:F685)=0,"",IF(OR(A685="",B685="",C685="",D685=""),"COMPLETE ROW",IF(COUNTIF(Clients!$A$5:$A$404,C685)=0,"CLIENT NOT FOUND",IF(COUNTIFS(Clients!$A$5:$A$404,C685,Clients!$B$5:$B$404,"Active")=0,"CLIENT NOT ACTIVE",IF(COUNTIF(Teams!$A$5:$A$104,D685)=0,"TEAM NOT FOUND","OK")))))</x:f>
      </x:c>
    </x:row>
    <x:row r="686">
      <x:c r="E686" s="102"/>
      <x:c r="G686" s="100" t="str">
        <x:f>IF(COUNTA(A686:F686)=0,"",IF(OR(A686="",B686="",C686="",D686=""),"COMPLETE ROW",IF(COUNTIF(Clients!$A$5:$A$404,C686)=0,"CLIENT NOT FOUND",IF(COUNTIFS(Clients!$A$5:$A$404,C686,Clients!$B$5:$B$404,"Active")=0,"CLIENT NOT ACTIVE",IF(COUNTIF(Teams!$A$5:$A$104,D686)=0,"TEAM NOT FOUND","OK")))))</x:f>
      </x:c>
    </x:row>
    <x:row r="687">
      <x:c r="E687" s="102"/>
      <x:c r="G687" s="100" t="str">
        <x:f>IF(COUNTA(A687:F687)=0,"",IF(OR(A687="",B687="",C687="",D687=""),"COMPLETE ROW",IF(COUNTIF(Clients!$A$5:$A$404,C687)=0,"CLIENT NOT FOUND",IF(COUNTIFS(Clients!$A$5:$A$404,C687,Clients!$B$5:$B$404,"Active")=0,"CLIENT NOT ACTIVE",IF(COUNTIF(Teams!$A$5:$A$104,D687)=0,"TEAM NOT FOUND","OK")))))</x:f>
      </x:c>
    </x:row>
    <x:row r="688">
      <x:c r="E688" s="102"/>
      <x:c r="G688" s="100" t="str">
        <x:f>IF(COUNTA(A688:F688)=0,"",IF(OR(A688="",B688="",C688="",D688=""),"COMPLETE ROW",IF(COUNTIF(Clients!$A$5:$A$404,C688)=0,"CLIENT NOT FOUND",IF(COUNTIFS(Clients!$A$5:$A$404,C688,Clients!$B$5:$B$404,"Active")=0,"CLIENT NOT ACTIVE",IF(COUNTIF(Teams!$A$5:$A$104,D688)=0,"TEAM NOT FOUND","OK")))))</x:f>
      </x:c>
    </x:row>
    <x:row r="689">
      <x:c r="E689" s="102"/>
      <x:c r="G689" s="100" t="str">
        <x:f>IF(COUNTA(A689:F689)=0,"",IF(OR(A689="",B689="",C689="",D689=""),"COMPLETE ROW",IF(COUNTIF(Clients!$A$5:$A$404,C689)=0,"CLIENT NOT FOUND",IF(COUNTIFS(Clients!$A$5:$A$404,C689,Clients!$B$5:$B$404,"Active")=0,"CLIENT NOT ACTIVE",IF(COUNTIF(Teams!$A$5:$A$104,D689)=0,"TEAM NOT FOUND","OK")))))</x:f>
      </x:c>
    </x:row>
    <x:row r="690">
      <x:c r="E690" s="102"/>
      <x:c r="G690" s="100" t="str">
        <x:f>IF(COUNTA(A690:F690)=0,"",IF(OR(A690="",B690="",C690="",D690=""),"COMPLETE ROW",IF(COUNTIF(Clients!$A$5:$A$404,C690)=0,"CLIENT NOT FOUND",IF(COUNTIFS(Clients!$A$5:$A$404,C690,Clients!$B$5:$B$404,"Active")=0,"CLIENT NOT ACTIVE",IF(COUNTIF(Teams!$A$5:$A$104,D690)=0,"TEAM NOT FOUND","OK")))))</x:f>
      </x:c>
    </x:row>
    <x:row r="691">
      <x:c r="E691" s="102"/>
      <x:c r="G691" s="100" t="str">
        <x:f>IF(COUNTA(A691:F691)=0,"",IF(OR(A691="",B691="",C691="",D691=""),"COMPLETE ROW",IF(COUNTIF(Clients!$A$5:$A$404,C691)=0,"CLIENT NOT FOUND",IF(COUNTIFS(Clients!$A$5:$A$404,C691,Clients!$B$5:$B$404,"Active")=0,"CLIENT NOT ACTIVE",IF(COUNTIF(Teams!$A$5:$A$104,D691)=0,"TEAM NOT FOUND","OK")))))</x:f>
      </x:c>
    </x:row>
    <x:row r="692">
      <x:c r="E692" s="102"/>
      <x:c r="G692" s="100" t="str">
        <x:f>IF(COUNTA(A692:F692)=0,"",IF(OR(A692="",B692="",C692="",D692=""),"COMPLETE ROW",IF(COUNTIF(Clients!$A$5:$A$404,C692)=0,"CLIENT NOT FOUND",IF(COUNTIFS(Clients!$A$5:$A$404,C692,Clients!$B$5:$B$404,"Active")=0,"CLIENT NOT ACTIVE",IF(COUNTIF(Teams!$A$5:$A$104,D692)=0,"TEAM NOT FOUND","OK")))))</x:f>
      </x:c>
    </x:row>
    <x:row r="693">
      <x:c r="E693" s="102"/>
      <x:c r="G693" s="100" t="str">
        <x:f>IF(COUNTA(A693:F693)=0,"",IF(OR(A693="",B693="",C693="",D693=""),"COMPLETE ROW",IF(COUNTIF(Clients!$A$5:$A$404,C693)=0,"CLIENT NOT FOUND",IF(COUNTIFS(Clients!$A$5:$A$404,C693,Clients!$B$5:$B$404,"Active")=0,"CLIENT NOT ACTIVE",IF(COUNTIF(Teams!$A$5:$A$104,D693)=0,"TEAM NOT FOUND","OK")))))</x:f>
      </x:c>
    </x:row>
    <x:row r="694">
      <x:c r="E694" s="102"/>
      <x:c r="G694" s="100" t="str">
        <x:f>IF(COUNTA(A694:F694)=0,"",IF(OR(A694="",B694="",C694="",D694=""),"COMPLETE ROW",IF(COUNTIF(Clients!$A$5:$A$404,C694)=0,"CLIENT NOT FOUND",IF(COUNTIFS(Clients!$A$5:$A$404,C694,Clients!$B$5:$B$404,"Active")=0,"CLIENT NOT ACTIVE",IF(COUNTIF(Teams!$A$5:$A$104,D694)=0,"TEAM NOT FOUND","OK")))))</x:f>
      </x:c>
    </x:row>
    <x:row r="695">
      <x:c r="E695" s="102"/>
      <x:c r="G695" s="100" t="str">
        <x:f>IF(COUNTA(A695:F695)=0,"",IF(OR(A695="",B695="",C695="",D695=""),"COMPLETE ROW",IF(COUNTIF(Clients!$A$5:$A$404,C695)=0,"CLIENT NOT FOUND",IF(COUNTIFS(Clients!$A$5:$A$404,C695,Clients!$B$5:$B$404,"Active")=0,"CLIENT NOT ACTIVE",IF(COUNTIF(Teams!$A$5:$A$104,D695)=0,"TEAM NOT FOUND","OK")))))</x:f>
      </x:c>
    </x:row>
    <x:row r="696">
      <x:c r="E696" s="102"/>
      <x:c r="G696" s="100" t="str">
        <x:f>IF(COUNTA(A696:F696)=0,"",IF(OR(A696="",B696="",C696="",D696=""),"COMPLETE ROW",IF(COUNTIF(Clients!$A$5:$A$404,C696)=0,"CLIENT NOT FOUND",IF(COUNTIFS(Clients!$A$5:$A$404,C696,Clients!$B$5:$B$404,"Active")=0,"CLIENT NOT ACTIVE",IF(COUNTIF(Teams!$A$5:$A$104,D696)=0,"TEAM NOT FOUND","OK")))))</x:f>
      </x:c>
    </x:row>
    <x:row r="697">
      <x:c r="E697" s="102"/>
      <x:c r="G697" s="100" t="str">
        <x:f>IF(COUNTA(A697:F697)=0,"",IF(OR(A697="",B697="",C697="",D697=""),"COMPLETE ROW",IF(COUNTIF(Clients!$A$5:$A$404,C697)=0,"CLIENT NOT FOUND",IF(COUNTIFS(Clients!$A$5:$A$404,C697,Clients!$B$5:$B$404,"Active")=0,"CLIENT NOT ACTIVE",IF(COUNTIF(Teams!$A$5:$A$104,D697)=0,"TEAM NOT FOUND","OK")))))</x:f>
      </x:c>
    </x:row>
    <x:row r="698">
      <x:c r="E698" s="102"/>
      <x:c r="G698" s="100" t="str">
        <x:f>IF(COUNTA(A698:F698)=0,"",IF(OR(A698="",B698="",C698="",D698=""),"COMPLETE ROW",IF(COUNTIF(Clients!$A$5:$A$404,C698)=0,"CLIENT NOT FOUND",IF(COUNTIFS(Clients!$A$5:$A$404,C698,Clients!$B$5:$B$404,"Active")=0,"CLIENT NOT ACTIVE",IF(COUNTIF(Teams!$A$5:$A$104,D698)=0,"TEAM NOT FOUND","OK")))))</x:f>
      </x:c>
    </x:row>
    <x:row r="699">
      <x:c r="E699" s="102"/>
      <x:c r="G699" s="100" t="str">
        <x:f>IF(COUNTA(A699:F699)=0,"",IF(OR(A699="",B699="",C699="",D699=""),"COMPLETE ROW",IF(COUNTIF(Clients!$A$5:$A$404,C699)=0,"CLIENT NOT FOUND",IF(COUNTIFS(Clients!$A$5:$A$404,C699,Clients!$B$5:$B$404,"Active")=0,"CLIENT NOT ACTIVE",IF(COUNTIF(Teams!$A$5:$A$104,D699)=0,"TEAM NOT FOUND","OK")))))</x:f>
      </x:c>
    </x:row>
    <x:row r="700">
      <x:c r="E700" s="102"/>
      <x:c r="G700" s="100" t="str">
        <x:f>IF(COUNTA(A700:F700)=0,"",IF(OR(A700="",B700="",C700="",D700=""),"COMPLETE ROW",IF(COUNTIF(Clients!$A$5:$A$404,C700)=0,"CLIENT NOT FOUND",IF(COUNTIFS(Clients!$A$5:$A$404,C700,Clients!$B$5:$B$404,"Active")=0,"CLIENT NOT ACTIVE",IF(COUNTIF(Teams!$A$5:$A$104,D700)=0,"TEAM NOT FOUND","OK")))))</x:f>
      </x:c>
    </x:row>
    <x:row r="701">
      <x:c r="E701" s="102"/>
      <x:c r="G701" s="100" t="str">
        <x:f>IF(COUNTA(A701:F701)=0,"",IF(OR(A701="",B701="",C701="",D701=""),"COMPLETE ROW",IF(COUNTIF(Clients!$A$5:$A$404,C701)=0,"CLIENT NOT FOUND",IF(COUNTIFS(Clients!$A$5:$A$404,C701,Clients!$B$5:$B$404,"Active")=0,"CLIENT NOT ACTIVE",IF(COUNTIF(Teams!$A$5:$A$104,D701)=0,"TEAM NOT FOUND","OK")))))</x:f>
      </x:c>
    </x:row>
    <x:row r="702">
      <x:c r="E702" s="102"/>
      <x:c r="G702" s="100" t="str">
        <x:f>IF(COUNTA(A702:F702)=0,"",IF(OR(A702="",B702="",C702="",D702=""),"COMPLETE ROW",IF(COUNTIF(Clients!$A$5:$A$404,C702)=0,"CLIENT NOT FOUND",IF(COUNTIFS(Clients!$A$5:$A$404,C702,Clients!$B$5:$B$404,"Active")=0,"CLIENT NOT ACTIVE",IF(COUNTIF(Teams!$A$5:$A$104,D702)=0,"TEAM NOT FOUND","OK")))))</x:f>
      </x:c>
    </x:row>
    <x:row r="703">
      <x:c r="E703" s="102"/>
      <x:c r="G703" s="100" t="str">
        <x:f>IF(COUNTA(A703:F703)=0,"",IF(OR(A703="",B703="",C703="",D703=""),"COMPLETE ROW",IF(COUNTIF(Clients!$A$5:$A$404,C703)=0,"CLIENT NOT FOUND",IF(COUNTIFS(Clients!$A$5:$A$404,C703,Clients!$B$5:$B$404,"Active")=0,"CLIENT NOT ACTIVE",IF(COUNTIF(Teams!$A$5:$A$104,D703)=0,"TEAM NOT FOUND","OK")))))</x:f>
      </x:c>
    </x:row>
    <x:row r="704">
      <x:c r="E704" s="102"/>
      <x:c r="G704" s="100" t="str">
        <x:f>IF(COUNTA(A704:F704)=0,"",IF(OR(A704="",B704="",C704="",D704=""),"COMPLETE ROW",IF(COUNTIF(Clients!$A$5:$A$404,C704)=0,"CLIENT NOT FOUND",IF(COUNTIFS(Clients!$A$5:$A$404,C704,Clients!$B$5:$B$404,"Active")=0,"CLIENT NOT ACTIVE",IF(COUNTIF(Teams!$A$5:$A$104,D704)=0,"TEAM NOT FOUND","OK")))))</x:f>
      </x:c>
    </x:row>
    <x:row r="705">
      <x:c r="E705" s="102"/>
      <x:c r="G705" s="100" t="str">
        <x:f>IF(COUNTA(A705:F705)=0,"",IF(OR(A705="",B705="",C705="",D705=""),"COMPLETE ROW",IF(COUNTIF(Clients!$A$5:$A$404,C705)=0,"CLIENT NOT FOUND",IF(COUNTIFS(Clients!$A$5:$A$404,C705,Clients!$B$5:$B$404,"Active")=0,"CLIENT NOT ACTIVE",IF(COUNTIF(Teams!$A$5:$A$104,D705)=0,"TEAM NOT FOUND","OK")))))</x:f>
      </x:c>
    </x:row>
    <x:row r="706">
      <x:c r="E706" s="102"/>
      <x:c r="G706" s="100" t="str">
        <x:f>IF(COUNTA(A706:F706)=0,"",IF(OR(A706="",B706="",C706="",D706=""),"COMPLETE ROW",IF(COUNTIF(Clients!$A$5:$A$404,C706)=0,"CLIENT NOT FOUND",IF(COUNTIFS(Clients!$A$5:$A$404,C706,Clients!$B$5:$B$404,"Active")=0,"CLIENT NOT ACTIVE",IF(COUNTIF(Teams!$A$5:$A$104,D706)=0,"TEAM NOT FOUND","OK")))))</x:f>
      </x:c>
    </x:row>
    <x:row r="707">
      <x:c r="E707" s="102"/>
      <x:c r="G707" s="100" t="str">
        <x:f>IF(COUNTA(A707:F707)=0,"",IF(OR(A707="",B707="",C707="",D707=""),"COMPLETE ROW",IF(COUNTIF(Clients!$A$5:$A$404,C707)=0,"CLIENT NOT FOUND",IF(COUNTIFS(Clients!$A$5:$A$404,C707,Clients!$B$5:$B$404,"Active")=0,"CLIENT NOT ACTIVE",IF(COUNTIF(Teams!$A$5:$A$104,D707)=0,"TEAM NOT FOUND","OK")))))</x:f>
      </x:c>
    </x:row>
    <x:row r="708">
      <x:c r="E708" s="102"/>
      <x:c r="G708" s="100" t="str">
        <x:f>IF(COUNTA(A708:F708)=0,"",IF(OR(A708="",B708="",C708="",D708=""),"COMPLETE ROW",IF(COUNTIF(Clients!$A$5:$A$404,C708)=0,"CLIENT NOT FOUND",IF(COUNTIFS(Clients!$A$5:$A$404,C708,Clients!$B$5:$B$404,"Active")=0,"CLIENT NOT ACTIVE",IF(COUNTIF(Teams!$A$5:$A$104,D708)=0,"TEAM NOT FOUND","OK")))))</x:f>
      </x:c>
    </x:row>
    <x:row r="709">
      <x:c r="E709" s="102"/>
      <x:c r="G709" s="100" t="str">
        <x:f>IF(COUNTA(A709:F709)=0,"",IF(OR(A709="",B709="",C709="",D709=""),"COMPLETE ROW",IF(COUNTIF(Clients!$A$5:$A$404,C709)=0,"CLIENT NOT FOUND",IF(COUNTIFS(Clients!$A$5:$A$404,C709,Clients!$B$5:$B$404,"Active")=0,"CLIENT NOT ACTIVE",IF(COUNTIF(Teams!$A$5:$A$104,D709)=0,"TEAM NOT FOUND","OK")))))</x:f>
      </x:c>
    </x:row>
    <x:row r="710">
      <x:c r="E710" s="102"/>
      <x:c r="G710" s="100" t="str">
        <x:f>IF(COUNTA(A710:F710)=0,"",IF(OR(A710="",B710="",C710="",D710=""),"COMPLETE ROW",IF(COUNTIF(Clients!$A$5:$A$404,C710)=0,"CLIENT NOT FOUND",IF(COUNTIFS(Clients!$A$5:$A$404,C710,Clients!$B$5:$B$404,"Active")=0,"CLIENT NOT ACTIVE",IF(COUNTIF(Teams!$A$5:$A$104,D710)=0,"TEAM NOT FOUND","OK")))))</x:f>
      </x:c>
    </x:row>
    <x:row r="711">
      <x:c r="E711" s="102"/>
      <x:c r="G711" s="100" t="str">
        <x:f>IF(COUNTA(A711:F711)=0,"",IF(OR(A711="",B711="",C711="",D711=""),"COMPLETE ROW",IF(COUNTIF(Clients!$A$5:$A$404,C711)=0,"CLIENT NOT FOUND",IF(COUNTIFS(Clients!$A$5:$A$404,C711,Clients!$B$5:$B$404,"Active")=0,"CLIENT NOT ACTIVE",IF(COUNTIF(Teams!$A$5:$A$104,D711)=0,"TEAM NOT FOUND","OK")))))</x:f>
      </x:c>
    </x:row>
    <x:row r="712">
      <x:c r="E712" s="102"/>
      <x:c r="G712" s="100" t="str">
        <x:f>IF(COUNTA(A712:F712)=0,"",IF(OR(A712="",B712="",C712="",D712=""),"COMPLETE ROW",IF(COUNTIF(Clients!$A$5:$A$404,C712)=0,"CLIENT NOT FOUND",IF(COUNTIFS(Clients!$A$5:$A$404,C712,Clients!$B$5:$B$404,"Active")=0,"CLIENT NOT ACTIVE",IF(COUNTIF(Teams!$A$5:$A$104,D712)=0,"TEAM NOT FOUND","OK")))))</x:f>
      </x:c>
    </x:row>
    <x:row r="713">
      <x:c r="E713" s="102"/>
      <x:c r="G713" s="100" t="str">
        <x:f>IF(COUNTA(A713:F713)=0,"",IF(OR(A713="",B713="",C713="",D713=""),"COMPLETE ROW",IF(COUNTIF(Clients!$A$5:$A$404,C713)=0,"CLIENT NOT FOUND",IF(COUNTIFS(Clients!$A$5:$A$404,C713,Clients!$B$5:$B$404,"Active")=0,"CLIENT NOT ACTIVE",IF(COUNTIF(Teams!$A$5:$A$104,D713)=0,"TEAM NOT FOUND","OK")))))</x:f>
      </x:c>
    </x:row>
    <x:row r="714">
      <x:c r="E714" s="102"/>
      <x:c r="G714" s="100" t="str">
        <x:f>IF(COUNTA(A714:F714)=0,"",IF(OR(A714="",B714="",C714="",D714=""),"COMPLETE ROW",IF(COUNTIF(Clients!$A$5:$A$404,C714)=0,"CLIENT NOT FOUND",IF(COUNTIFS(Clients!$A$5:$A$404,C714,Clients!$B$5:$B$404,"Active")=0,"CLIENT NOT ACTIVE",IF(COUNTIF(Teams!$A$5:$A$104,D714)=0,"TEAM NOT FOUND","OK")))))</x:f>
      </x:c>
    </x:row>
    <x:row r="715">
      <x:c r="E715" s="102"/>
      <x:c r="G715" s="100" t="str">
        <x:f>IF(COUNTA(A715:F715)=0,"",IF(OR(A715="",B715="",C715="",D715=""),"COMPLETE ROW",IF(COUNTIF(Clients!$A$5:$A$404,C715)=0,"CLIENT NOT FOUND",IF(COUNTIFS(Clients!$A$5:$A$404,C715,Clients!$B$5:$B$404,"Active")=0,"CLIENT NOT ACTIVE",IF(COUNTIF(Teams!$A$5:$A$104,D715)=0,"TEAM NOT FOUND","OK")))))</x:f>
      </x:c>
    </x:row>
    <x:row r="716">
      <x:c r="E716" s="102"/>
      <x:c r="G716" s="100" t="str">
        <x:f>IF(COUNTA(A716:F716)=0,"",IF(OR(A716="",B716="",C716="",D716=""),"COMPLETE ROW",IF(COUNTIF(Clients!$A$5:$A$404,C716)=0,"CLIENT NOT FOUND",IF(COUNTIFS(Clients!$A$5:$A$404,C716,Clients!$B$5:$B$404,"Active")=0,"CLIENT NOT ACTIVE",IF(COUNTIF(Teams!$A$5:$A$104,D716)=0,"TEAM NOT FOUND","OK")))))</x:f>
      </x:c>
    </x:row>
    <x:row r="717">
      <x:c r="E717" s="102"/>
      <x:c r="G717" s="100" t="str">
        <x:f>IF(COUNTA(A717:F717)=0,"",IF(OR(A717="",B717="",C717="",D717=""),"COMPLETE ROW",IF(COUNTIF(Clients!$A$5:$A$404,C717)=0,"CLIENT NOT FOUND",IF(COUNTIFS(Clients!$A$5:$A$404,C717,Clients!$B$5:$B$404,"Active")=0,"CLIENT NOT ACTIVE",IF(COUNTIF(Teams!$A$5:$A$104,D717)=0,"TEAM NOT FOUND","OK")))))</x:f>
      </x:c>
    </x:row>
    <x:row r="718">
      <x:c r="E718" s="102"/>
      <x:c r="G718" s="100" t="str">
        <x:f>IF(COUNTA(A718:F718)=0,"",IF(OR(A718="",B718="",C718="",D718=""),"COMPLETE ROW",IF(COUNTIF(Clients!$A$5:$A$404,C718)=0,"CLIENT NOT FOUND",IF(COUNTIFS(Clients!$A$5:$A$404,C718,Clients!$B$5:$B$404,"Active")=0,"CLIENT NOT ACTIVE",IF(COUNTIF(Teams!$A$5:$A$104,D718)=0,"TEAM NOT FOUND","OK")))))</x:f>
      </x:c>
    </x:row>
    <x:row r="719">
      <x:c r="E719" s="102"/>
      <x:c r="G719" s="100" t="str">
        <x:f>IF(COUNTA(A719:F719)=0,"",IF(OR(A719="",B719="",C719="",D719=""),"COMPLETE ROW",IF(COUNTIF(Clients!$A$5:$A$404,C719)=0,"CLIENT NOT FOUND",IF(COUNTIFS(Clients!$A$5:$A$404,C719,Clients!$B$5:$B$404,"Active")=0,"CLIENT NOT ACTIVE",IF(COUNTIF(Teams!$A$5:$A$104,D719)=0,"TEAM NOT FOUND","OK")))))</x:f>
      </x:c>
    </x:row>
    <x:row r="720">
      <x:c r="E720" s="102"/>
      <x:c r="G720" s="100" t="str">
        <x:f>IF(COUNTA(A720:F720)=0,"",IF(OR(A720="",B720="",C720="",D720=""),"COMPLETE ROW",IF(COUNTIF(Clients!$A$5:$A$404,C720)=0,"CLIENT NOT FOUND",IF(COUNTIFS(Clients!$A$5:$A$404,C720,Clients!$B$5:$B$404,"Active")=0,"CLIENT NOT ACTIVE",IF(COUNTIF(Teams!$A$5:$A$104,D720)=0,"TEAM NOT FOUND","OK")))))</x:f>
      </x:c>
    </x:row>
    <x:row r="721">
      <x:c r="E721" s="102"/>
      <x:c r="G721" s="100" t="str">
        <x:f>IF(COUNTA(A721:F721)=0,"",IF(OR(A721="",B721="",C721="",D721=""),"COMPLETE ROW",IF(COUNTIF(Clients!$A$5:$A$404,C721)=0,"CLIENT NOT FOUND",IF(COUNTIFS(Clients!$A$5:$A$404,C721,Clients!$B$5:$B$404,"Active")=0,"CLIENT NOT ACTIVE",IF(COUNTIF(Teams!$A$5:$A$104,D721)=0,"TEAM NOT FOUND","OK")))))</x:f>
      </x:c>
    </x:row>
    <x:row r="722">
      <x:c r="E722" s="102"/>
      <x:c r="G722" s="100" t="str">
        <x:f>IF(COUNTA(A722:F722)=0,"",IF(OR(A722="",B722="",C722="",D722=""),"COMPLETE ROW",IF(COUNTIF(Clients!$A$5:$A$404,C722)=0,"CLIENT NOT FOUND",IF(COUNTIFS(Clients!$A$5:$A$404,C722,Clients!$B$5:$B$404,"Active")=0,"CLIENT NOT ACTIVE",IF(COUNTIF(Teams!$A$5:$A$104,D722)=0,"TEAM NOT FOUND","OK")))))</x:f>
      </x:c>
    </x:row>
    <x:row r="723">
      <x:c r="E723" s="102"/>
      <x:c r="G723" s="100" t="str">
        <x:f>IF(COUNTA(A723:F723)=0,"",IF(OR(A723="",B723="",C723="",D723=""),"COMPLETE ROW",IF(COUNTIF(Clients!$A$5:$A$404,C723)=0,"CLIENT NOT FOUND",IF(COUNTIFS(Clients!$A$5:$A$404,C723,Clients!$B$5:$B$404,"Active")=0,"CLIENT NOT ACTIVE",IF(COUNTIF(Teams!$A$5:$A$104,D723)=0,"TEAM NOT FOUND","OK")))))</x:f>
      </x:c>
    </x:row>
    <x:row r="724">
      <x:c r="E724" s="102"/>
      <x:c r="G724" s="100" t="str">
        <x:f>IF(COUNTA(A724:F724)=0,"",IF(OR(A724="",B724="",C724="",D724=""),"COMPLETE ROW",IF(COUNTIF(Clients!$A$5:$A$404,C724)=0,"CLIENT NOT FOUND",IF(COUNTIFS(Clients!$A$5:$A$404,C724,Clients!$B$5:$B$404,"Active")=0,"CLIENT NOT ACTIVE",IF(COUNTIF(Teams!$A$5:$A$104,D724)=0,"TEAM NOT FOUND","OK")))))</x:f>
      </x:c>
    </x:row>
    <x:row r="725">
      <x:c r="E725" s="102"/>
      <x:c r="G725" s="100" t="str">
        <x:f>IF(COUNTA(A725:F725)=0,"",IF(OR(A725="",B725="",C725="",D725=""),"COMPLETE ROW",IF(COUNTIF(Clients!$A$5:$A$404,C725)=0,"CLIENT NOT FOUND",IF(COUNTIFS(Clients!$A$5:$A$404,C725,Clients!$B$5:$B$404,"Active")=0,"CLIENT NOT ACTIVE",IF(COUNTIF(Teams!$A$5:$A$104,D725)=0,"TEAM NOT FOUND","OK")))))</x:f>
      </x:c>
    </x:row>
    <x:row r="726">
      <x:c r="E726" s="102"/>
      <x:c r="G726" s="100" t="str">
        <x:f>IF(COUNTA(A726:F726)=0,"",IF(OR(A726="",B726="",C726="",D726=""),"COMPLETE ROW",IF(COUNTIF(Clients!$A$5:$A$404,C726)=0,"CLIENT NOT FOUND",IF(COUNTIFS(Clients!$A$5:$A$404,C726,Clients!$B$5:$B$404,"Active")=0,"CLIENT NOT ACTIVE",IF(COUNTIF(Teams!$A$5:$A$104,D726)=0,"TEAM NOT FOUND","OK")))))</x:f>
      </x:c>
    </x:row>
    <x:row r="727">
      <x:c r="E727" s="102"/>
      <x:c r="G727" s="100" t="str">
        <x:f>IF(COUNTA(A727:F727)=0,"",IF(OR(A727="",B727="",C727="",D727=""),"COMPLETE ROW",IF(COUNTIF(Clients!$A$5:$A$404,C727)=0,"CLIENT NOT FOUND",IF(COUNTIFS(Clients!$A$5:$A$404,C727,Clients!$B$5:$B$404,"Active")=0,"CLIENT NOT ACTIVE",IF(COUNTIF(Teams!$A$5:$A$104,D727)=0,"TEAM NOT FOUND","OK")))))</x:f>
      </x:c>
    </x:row>
    <x:row r="728">
      <x:c r="E728" s="102"/>
      <x:c r="G728" s="100" t="str">
        <x:f>IF(COUNTA(A728:F728)=0,"",IF(OR(A728="",B728="",C728="",D728=""),"COMPLETE ROW",IF(COUNTIF(Clients!$A$5:$A$404,C728)=0,"CLIENT NOT FOUND",IF(COUNTIFS(Clients!$A$5:$A$404,C728,Clients!$B$5:$B$404,"Active")=0,"CLIENT NOT ACTIVE",IF(COUNTIF(Teams!$A$5:$A$104,D728)=0,"TEAM NOT FOUND","OK")))))</x:f>
      </x:c>
    </x:row>
    <x:row r="729">
      <x:c r="E729" s="102"/>
      <x:c r="G729" s="100" t="str">
        <x:f>IF(COUNTA(A729:F729)=0,"",IF(OR(A729="",B729="",C729="",D729=""),"COMPLETE ROW",IF(COUNTIF(Clients!$A$5:$A$404,C729)=0,"CLIENT NOT FOUND",IF(COUNTIFS(Clients!$A$5:$A$404,C729,Clients!$B$5:$B$404,"Active")=0,"CLIENT NOT ACTIVE",IF(COUNTIF(Teams!$A$5:$A$104,D729)=0,"TEAM NOT FOUND","OK")))))</x:f>
      </x:c>
    </x:row>
    <x:row r="730">
      <x:c r="E730" s="102"/>
      <x:c r="G730" s="100" t="str">
        <x:f>IF(COUNTA(A730:F730)=0,"",IF(OR(A730="",B730="",C730="",D730=""),"COMPLETE ROW",IF(COUNTIF(Clients!$A$5:$A$404,C730)=0,"CLIENT NOT FOUND",IF(COUNTIFS(Clients!$A$5:$A$404,C730,Clients!$B$5:$B$404,"Active")=0,"CLIENT NOT ACTIVE",IF(COUNTIF(Teams!$A$5:$A$104,D730)=0,"TEAM NOT FOUND","OK")))))</x:f>
      </x:c>
    </x:row>
    <x:row r="731">
      <x:c r="E731" s="102"/>
      <x:c r="G731" s="100" t="str">
        <x:f>IF(COUNTA(A731:F731)=0,"",IF(OR(A731="",B731="",C731="",D731=""),"COMPLETE ROW",IF(COUNTIF(Clients!$A$5:$A$404,C731)=0,"CLIENT NOT FOUND",IF(COUNTIFS(Clients!$A$5:$A$404,C731,Clients!$B$5:$B$404,"Active")=0,"CLIENT NOT ACTIVE",IF(COUNTIF(Teams!$A$5:$A$104,D731)=0,"TEAM NOT FOUND","OK")))))</x:f>
      </x:c>
    </x:row>
    <x:row r="732">
      <x:c r="E732" s="102"/>
      <x:c r="G732" s="100" t="str">
        <x:f>IF(COUNTA(A732:F732)=0,"",IF(OR(A732="",B732="",C732="",D732=""),"COMPLETE ROW",IF(COUNTIF(Clients!$A$5:$A$404,C732)=0,"CLIENT NOT FOUND",IF(COUNTIFS(Clients!$A$5:$A$404,C732,Clients!$B$5:$B$404,"Active")=0,"CLIENT NOT ACTIVE",IF(COUNTIF(Teams!$A$5:$A$104,D732)=0,"TEAM NOT FOUND","OK")))))</x:f>
      </x:c>
    </x:row>
    <x:row r="733">
      <x:c r="E733" s="102"/>
      <x:c r="G733" s="100" t="str">
        <x:f>IF(COUNTA(A733:F733)=0,"",IF(OR(A733="",B733="",C733="",D733=""),"COMPLETE ROW",IF(COUNTIF(Clients!$A$5:$A$404,C733)=0,"CLIENT NOT FOUND",IF(COUNTIFS(Clients!$A$5:$A$404,C733,Clients!$B$5:$B$404,"Active")=0,"CLIENT NOT ACTIVE",IF(COUNTIF(Teams!$A$5:$A$104,D733)=0,"TEAM NOT FOUND","OK")))))</x:f>
      </x:c>
    </x:row>
    <x:row r="734">
      <x:c r="E734" s="102"/>
      <x:c r="G734" s="100" t="str">
        <x:f>IF(COUNTA(A734:F734)=0,"",IF(OR(A734="",B734="",C734="",D734=""),"COMPLETE ROW",IF(COUNTIF(Clients!$A$5:$A$404,C734)=0,"CLIENT NOT FOUND",IF(COUNTIFS(Clients!$A$5:$A$404,C734,Clients!$B$5:$B$404,"Active")=0,"CLIENT NOT ACTIVE",IF(COUNTIF(Teams!$A$5:$A$104,D734)=0,"TEAM NOT FOUND","OK")))))</x:f>
      </x:c>
    </x:row>
    <x:row r="735">
      <x:c r="E735" s="102"/>
      <x:c r="G735" s="100" t="str">
        <x:f>IF(COUNTA(A735:F735)=0,"",IF(OR(A735="",B735="",C735="",D735=""),"COMPLETE ROW",IF(COUNTIF(Clients!$A$5:$A$404,C735)=0,"CLIENT NOT FOUND",IF(COUNTIFS(Clients!$A$5:$A$404,C735,Clients!$B$5:$B$404,"Active")=0,"CLIENT NOT ACTIVE",IF(COUNTIF(Teams!$A$5:$A$104,D735)=0,"TEAM NOT FOUND","OK")))))</x:f>
      </x:c>
    </x:row>
    <x:row r="736">
      <x:c r="E736" s="102"/>
      <x:c r="G736" s="100" t="str">
        <x:f>IF(COUNTA(A736:F736)=0,"",IF(OR(A736="",B736="",C736="",D736=""),"COMPLETE ROW",IF(COUNTIF(Clients!$A$5:$A$404,C736)=0,"CLIENT NOT FOUND",IF(COUNTIFS(Clients!$A$5:$A$404,C736,Clients!$B$5:$B$404,"Active")=0,"CLIENT NOT ACTIVE",IF(COUNTIF(Teams!$A$5:$A$104,D736)=0,"TEAM NOT FOUND","OK")))))</x:f>
      </x:c>
    </x:row>
    <x:row r="737">
      <x:c r="E737" s="102"/>
      <x:c r="G737" s="100" t="str">
        <x:f>IF(COUNTA(A737:F737)=0,"",IF(OR(A737="",B737="",C737="",D737=""),"COMPLETE ROW",IF(COUNTIF(Clients!$A$5:$A$404,C737)=0,"CLIENT NOT FOUND",IF(COUNTIFS(Clients!$A$5:$A$404,C737,Clients!$B$5:$B$404,"Active")=0,"CLIENT NOT ACTIVE",IF(COUNTIF(Teams!$A$5:$A$104,D737)=0,"TEAM NOT FOUND","OK")))))</x:f>
      </x:c>
    </x:row>
    <x:row r="738">
      <x:c r="E738" s="102"/>
      <x:c r="G738" s="100" t="str">
        <x:f>IF(COUNTA(A738:F738)=0,"",IF(OR(A738="",B738="",C738="",D738=""),"COMPLETE ROW",IF(COUNTIF(Clients!$A$5:$A$404,C738)=0,"CLIENT NOT FOUND",IF(COUNTIFS(Clients!$A$5:$A$404,C738,Clients!$B$5:$B$404,"Active")=0,"CLIENT NOT ACTIVE",IF(COUNTIF(Teams!$A$5:$A$104,D738)=0,"TEAM NOT FOUND","OK")))))</x:f>
      </x:c>
    </x:row>
    <x:row r="739">
      <x:c r="E739" s="102"/>
      <x:c r="G739" s="100" t="str">
        <x:f>IF(COUNTA(A739:F739)=0,"",IF(OR(A739="",B739="",C739="",D739=""),"COMPLETE ROW",IF(COUNTIF(Clients!$A$5:$A$404,C739)=0,"CLIENT NOT FOUND",IF(COUNTIFS(Clients!$A$5:$A$404,C739,Clients!$B$5:$B$404,"Active")=0,"CLIENT NOT ACTIVE",IF(COUNTIF(Teams!$A$5:$A$104,D739)=0,"TEAM NOT FOUND","OK")))))</x:f>
      </x:c>
    </x:row>
    <x:row r="740">
      <x:c r="E740" s="102"/>
      <x:c r="G740" s="100" t="str">
        <x:f>IF(COUNTA(A740:F740)=0,"",IF(OR(A740="",B740="",C740="",D740=""),"COMPLETE ROW",IF(COUNTIF(Clients!$A$5:$A$404,C740)=0,"CLIENT NOT FOUND",IF(COUNTIFS(Clients!$A$5:$A$404,C740,Clients!$B$5:$B$404,"Active")=0,"CLIENT NOT ACTIVE",IF(COUNTIF(Teams!$A$5:$A$104,D740)=0,"TEAM NOT FOUND","OK")))))</x:f>
      </x:c>
    </x:row>
    <x:row r="741">
      <x:c r="E741" s="102"/>
      <x:c r="G741" s="100" t="str">
        <x:f>IF(COUNTA(A741:F741)=0,"",IF(OR(A741="",B741="",C741="",D741=""),"COMPLETE ROW",IF(COUNTIF(Clients!$A$5:$A$404,C741)=0,"CLIENT NOT FOUND",IF(COUNTIFS(Clients!$A$5:$A$404,C741,Clients!$B$5:$B$404,"Active")=0,"CLIENT NOT ACTIVE",IF(COUNTIF(Teams!$A$5:$A$104,D741)=0,"TEAM NOT FOUND","OK")))))</x:f>
      </x:c>
    </x:row>
    <x:row r="742">
      <x:c r="E742" s="102"/>
      <x:c r="G742" s="100" t="str">
        <x:f>IF(COUNTA(A742:F742)=0,"",IF(OR(A742="",B742="",C742="",D742=""),"COMPLETE ROW",IF(COUNTIF(Clients!$A$5:$A$404,C742)=0,"CLIENT NOT FOUND",IF(COUNTIFS(Clients!$A$5:$A$404,C742,Clients!$B$5:$B$404,"Active")=0,"CLIENT NOT ACTIVE",IF(COUNTIF(Teams!$A$5:$A$104,D742)=0,"TEAM NOT FOUND","OK")))))</x:f>
      </x:c>
    </x:row>
    <x:row r="743">
      <x:c r="E743" s="102"/>
      <x:c r="G743" s="100" t="str">
        <x:f>IF(COUNTA(A743:F743)=0,"",IF(OR(A743="",B743="",C743="",D743=""),"COMPLETE ROW",IF(COUNTIF(Clients!$A$5:$A$404,C743)=0,"CLIENT NOT FOUND",IF(COUNTIFS(Clients!$A$5:$A$404,C743,Clients!$B$5:$B$404,"Active")=0,"CLIENT NOT ACTIVE",IF(COUNTIF(Teams!$A$5:$A$104,D743)=0,"TEAM NOT FOUND","OK")))))</x:f>
      </x:c>
    </x:row>
    <x:row r="744">
      <x:c r="E744" s="102"/>
      <x:c r="G744" s="100" t="str">
        <x:f>IF(COUNTA(A744:F744)=0,"",IF(OR(A744="",B744="",C744="",D744=""),"COMPLETE ROW",IF(COUNTIF(Clients!$A$5:$A$404,C744)=0,"CLIENT NOT FOUND",IF(COUNTIFS(Clients!$A$5:$A$404,C744,Clients!$B$5:$B$404,"Active")=0,"CLIENT NOT ACTIVE",IF(COUNTIF(Teams!$A$5:$A$104,D744)=0,"TEAM NOT FOUND","OK")))))</x:f>
      </x:c>
    </x:row>
    <x:row r="745">
      <x:c r="E745" s="102"/>
      <x:c r="G745" s="100" t="str">
        <x:f>IF(COUNTA(A745:F745)=0,"",IF(OR(A745="",B745="",C745="",D745=""),"COMPLETE ROW",IF(COUNTIF(Clients!$A$5:$A$404,C745)=0,"CLIENT NOT FOUND",IF(COUNTIFS(Clients!$A$5:$A$404,C745,Clients!$B$5:$B$404,"Active")=0,"CLIENT NOT ACTIVE",IF(COUNTIF(Teams!$A$5:$A$104,D745)=0,"TEAM NOT FOUND","OK")))))</x:f>
      </x:c>
    </x:row>
    <x:row r="746">
      <x:c r="E746" s="102"/>
      <x:c r="G746" s="100" t="str">
        <x:f>IF(COUNTA(A746:F746)=0,"",IF(OR(A746="",B746="",C746="",D746=""),"COMPLETE ROW",IF(COUNTIF(Clients!$A$5:$A$404,C746)=0,"CLIENT NOT FOUND",IF(COUNTIFS(Clients!$A$5:$A$404,C746,Clients!$B$5:$B$404,"Active")=0,"CLIENT NOT ACTIVE",IF(COUNTIF(Teams!$A$5:$A$104,D746)=0,"TEAM NOT FOUND","OK")))))</x:f>
      </x:c>
    </x:row>
    <x:row r="747">
      <x:c r="E747" s="102"/>
      <x:c r="G747" s="100" t="str">
        <x:f>IF(COUNTA(A747:F747)=0,"",IF(OR(A747="",B747="",C747="",D747=""),"COMPLETE ROW",IF(COUNTIF(Clients!$A$5:$A$404,C747)=0,"CLIENT NOT FOUND",IF(COUNTIFS(Clients!$A$5:$A$404,C747,Clients!$B$5:$B$404,"Active")=0,"CLIENT NOT ACTIVE",IF(COUNTIF(Teams!$A$5:$A$104,D747)=0,"TEAM NOT FOUND","OK")))))</x:f>
      </x:c>
    </x:row>
    <x:row r="748">
      <x:c r="E748" s="102"/>
      <x:c r="G748" s="100" t="str">
        <x:f>IF(COUNTA(A748:F748)=0,"",IF(OR(A748="",B748="",C748="",D748=""),"COMPLETE ROW",IF(COUNTIF(Clients!$A$5:$A$404,C748)=0,"CLIENT NOT FOUND",IF(COUNTIFS(Clients!$A$5:$A$404,C748,Clients!$B$5:$B$404,"Active")=0,"CLIENT NOT ACTIVE",IF(COUNTIF(Teams!$A$5:$A$104,D748)=0,"TEAM NOT FOUND","OK")))))</x:f>
      </x:c>
    </x:row>
    <x:row r="749">
      <x:c r="E749" s="102"/>
      <x:c r="G749" s="100" t="str">
        <x:f>IF(COUNTA(A749:F749)=0,"",IF(OR(A749="",B749="",C749="",D749=""),"COMPLETE ROW",IF(COUNTIF(Clients!$A$5:$A$404,C749)=0,"CLIENT NOT FOUND",IF(COUNTIFS(Clients!$A$5:$A$404,C749,Clients!$B$5:$B$404,"Active")=0,"CLIENT NOT ACTIVE",IF(COUNTIF(Teams!$A$5:$A$104,D749)=0,"TEAM NOT FOUND","OK")))))</x:f>
      </x:c>
    </x:row>
    <x:row r="750">
      <x:c r="E750" s="102"/>
      <x:c r="G750" s="100" t="str">
        <x:f>IF(COUNTA(A750:F750)=0,"",IF(OR(A750="",B750="",C750="",D750=""),"COMPLETE ROW",IF(COUNTIF(Clients!$A$5:$A$404,C750)=0,"CLIENT NOT FOUND",IF(COUNTIFS(Clients!$A$5:$A$404,C750,Clients!$B$5:$B$404,"Active")=0,"CLIENT NOT ACTIVE",IF(COUNTIF(Teams!$A$5:$A$104,D750)=0,"TEAM NOT FOUND","OK")))))</x:f>
      </x:c>
    </x:row>
    <x:row r="751">
      <x:c r="E751" s="102"/>
      <x:c r="G751" s="100" t="str">
        <x:f>IF(COUNTA(A751:F751)=0,"",IF(OR(A751="",B751="",C751="",D751=""),"COMPLETE ROW",IF(COUNTIF(Clients!$A$5:$A$404,C751)=0,"CLIENT NOT FOUND",IF(COUNTIFS(Clients!$A$5:$A$404,C751,Clients!$B$5:$B$404,"Active")=0,"CLIENT NOT ACTIVE",IF(COUNTIF(Teams!$A$5:$A$104,D751)=0,"TEAM NOT FOUND","OK")))))</x:f>
      </x:c>
    </x:row>
    <x:row r="752">
      <x:c r="E752" s="102"/>
      <x:c r="G752" s="100" t="str">
        <x:f>IF(COUNTA(A752:F752)=0,"",IF(OR(A752="",B752="",C752="",D752=""),"COMPLETE ROW",IF(COUNTIF(Clients!$A$5:$A$404,C752)=0,"CLIENT NOT FOUND",IF(COUNTIFS(Clients!$A$5:$A$404,C752,Clients!$B$5:$B$404,"Active")=0,"CLIENT NOT ACTIVE",IF(COUNTIF(Teams!$A$5:$A$104,D752)=0,"TEAM NOT FOUND","OK")))))</x:f>
      </x:c>
    </x:row>
    <x:row r="753">
      <x:c r="E753" s="102"/>
      <x:c r="G753" s="100" t="str">
        <x:f>IF(COUNTA(A753:F753)=0,"",IF(OR(A753="",B753="",C753="",D753=""),"COMPLETE ROW",IF(COUNTIF(Clients!$A$5:$A$404,C753)=0,"CLIENT NOT FOUND",IF(COUNTIFS(Clients!$A$5:$A$404,C753,Clients!$B$5:$B$404,"Active")=0,"CLIENT NOT ACTIVE",IF(COUNTIF(Teams!$A$5:$A$104,D753)=0,"TEAM NOT FOUND","OK")))))</x:f>
      </x:c>
    </x:row>
    <x:row r="754">
      <x:c r="E754" s="102"/>
      <x:c r="G754" s="100" t="str">
        <x:f>IF(COUNTA(A754:F754)=0,"",IF(OR(A754="",B754="",C754="",D754=""),"COMPLETE ROW",IF(COUNTIF(Clients!$A$5:$A$404,C754)=0,"CLIENT NOT FOUND",IF(COUNTIFS(Clients!$A$5:$A$404,C754,Clients!$B$5:$B$404,"Active")=0,"CLIENT NOT ACTIVE",IF(COUNTIF(Teams!$A$5:$A$104,D754)=0,"TEAM NOT FOUND","OK")))))</x:f>
      </x:c>
    </x:row>
    <x:row r="755">
      <x:c r="E755" s="102"/>
      <x:c r="G755" s="100" t="str">
        <x:f>IF(COUNTA(A755:F755)=0,"",IF(OR(A755="",B755="",C755="",D755=""),"COMPLETE ROW",IF(COUNTIF(Clients!$A$5:$A$404,C755)=0,"CLIENT NOT FOUND",IF(COUNTIFS(Clients!$A$5:$A$404,C755,Clients!$B$5:$B$404,"Active")=0,"CLIENT NOT ACTIVE",IF(COUNTIF(Teams!$A$5:$A$104,D755)=0,"TEAM NOT FOUND","OK")))))</x:f>
      </x:c>
    </x:row>
    <x:row r="756">
      <x:c r="E756" s="102"/>
      <x:c r="G756" s="100" t="str">
        <x:f>IF(COUNTA(A756:F756)=0,"",IF(OR(A756="",B756="",C756="",D756=""),"COMPLETE ROW",IF(COUNTIF(Clients!$A$5:$A$404,C756)=0,"CLIENT NOT FOUND",IF(COUNTIFS(Clients!$A$5:$A$404,C756,Clients!$B$5:$B$404,"Active")=0,"CLIENT NOT ACTIVE",IF(COUNTIF(Teams!$A$5:$A$104,D756)=0,"TEAM NOT FOUND","OK")))))</x:f>
      </x:c>
    </x:row>
    <x:row r="757">
      <x:c r="E757" s="102"/>
      <x:c r="G757" s="100" t="str">
        <x:f>IF(COUNTA(A757:F757)=0,"",IF(OR(A757="",B757="",C757="",D757=""),"COMPLETE ROW",IF(COUNTIF(Clients!$A$5:$A$404,C757)=0,"CLIENT NOT FOUND",IF(COUNTIFS(Clients!$A$5:$A$404,C757,Clients!$B$5:$B$404,"Active")=0,"CLIENT NOT ACTIVE",IF(COUNTIF(Teams!$A$5:$A$104,D757)=0,"TEAM NOT FOUND","OK")))))</x:f>
      </x:c>
    </x:row>
    <x:row r="758">
      <x:c r="E758" s="102"/>
      <x:c r="G758" s="100" t="str">
        <x:f>IF(COUNTA(A758:F758)=0,"",IF(OR(A758="",B758="",C758="",D758=""),"COMPLETE ROW",IF(COUNTIF(Clients!$A$5:$A$404,C758)=0,"CLIENT NOT FOUND",IF(COUNTIFS(Clients!$A$5:$A$404,C758,Clients!$B$5:$B$404,"Active")=0,"CLIENT NOT ACTIVE",IF(COUNTIF(Teams!$A$5:$A$104,D758)=0,"TEAM NOT FOUND","OK")))))</x:f>
      </x:c>
    </x:row>
    <x:row r="759">
      <x:c r="E759" s="102"/>
      <x:c r="G759" s="100" t="str">
        <x:f>IF(COUNTA(A759:F759)=0,"",IF(OR(A759="",B759="",C759="",D759=""),"COMPLETE ROW",IF(COUNTIF(Clients!$A$5:$A$404,C759)=0,"CLIENT NOT FOUND",IF(COUNTIFS(Clients!$A$5:$A$404,C759,Clients!$B$5:$B$404,"Active")=0,"CLIENT NOT ACTIVE",IF(COUNTIF(Teams!$A$5:$A$104,D759)=0,"TEAM NOT FOUND","OK")))))</x:f>
      </x:c>
    </x:row>
    <x:row r="760">
      <x:c r="E760" s="102"/>
      <x:c r="G760" s="100" t="str">
        <x:f>IF(COUNTA(A760:F760)=0,"",IF(OR(A760="",B760="",C760="",D760=""),"COMPLETE ROW",IF(COUNTIF(Clients!$A$5:$A$404,C760)=0,"CLIENT NOT FOUND",IF(COUNTIFS(Clients!$A$5:$A$404,C760,Clients!$B$5:$B$404,"Active")=0,"CLIENT NOT ACTIVE",IF(COUNTIF(Teams!$A$5:$A$104,D760)=0,"TEAM NOT FOUND","OK")))))</x:f>
      </x:c>
    </x:row>
    <x:row r="761">
      <x:c r="E761" s="102"/>
      <x:c r="G761" s="100" t="str">
        <x:f>IF(COUNTA(A761:F761)=0,"",IF(OR(A761="",B761="",C761="",D761=""),"COMPLETE ROW",IF(COUNTIF(Clients!$A$5:$A$404,C761)=0,"CLIENT NOT FOUND",IF(COUNTIFS(Clients!$A$5:$A$404,C761,Clients!$B$5:$B$404,"Active")=0,"CLIENT NOT ACTIVE",IF(COUNTIF(Teams!$A$5:$A$104,D761)=0,"TEAM NOT FOUND","OK")))))</x:f>
      </x:c>
    </x:row>
    <x:row r="762">
      <x:c r="E762" s="102"/>
      <x:c r="G762" s="100" t="str">
        <x:f>IF(COUNTA(A762:F762)=0,"",IF(OR(A762="",B762="",C762="",D762=""),"COMPLETE ROW",IF(COUNTIF(Clients!$A$5:$A$404,C762)=0,"CLIENT NOT FOUND",IF(COUNTIFS(Clients!$A$5:$A$404,C762,Clients!$B$5:$B$404,"Active")=0,"CLIENT NOT ACTIVE",IF(COUNTIF(Teams!$A$5:$A$104,D762)=0,"TEAM NOT FOUND","OK")))))</x:f>
      </x:c>
    </x:row>
    <x:row r="763">
      <x:c r="E763" s="102"/>
      <x:c r="G763" s="100" t="str">
        <x:f>IF(COUNTA(A763:F763)=0,"",IF(OR(A763="",B763="",C763="",D763=""),"COMPLETE ROW",IF(COUNTIF(Clients!$A$5:$A$404,C763)=0,"CLIENT NOT FOUND",IF(COUNTIFS(Clients!$A$5:$A$404,C763,Clients!$B$5:$B$404,"Active")=0,"CLIENT NOT ACTIVE",IF(COUNTIF(Teams!$A$5:$A$104,D763)=0,"TEAM NOT FOUND","OK")))))</x:f>
      </x:c>
    </x:row>
    <x:row r="764">
      <x:c r="E764" s="102"/>
      <x:c r="G764" s="100" t="str">
        <x:f>IF(COUNTA(A764:F764)=0,"",IF(OR(A764="",B764="",C764="",D764=""),"COMPLETE ROW",IF(COUNTIF(Clients!$A$5:$A$404,C764)=0,"CLIENT NOT FOUND",IF(COUNTIFS(Clients!$A$5:$A$404,C764,Clients!$B$5:$B$404,"Active")=0,"CLIENT NOT ACTIVE",IF(COUNTIF(Teams!$A$5:$A$104,D764)=0,"TEAM NOT FOUND","OK")))))</x:f>
      </x:c>
    </x:row>
    <x:row r="765">
      <x:c r="E765" s="102"/>
      <x:c r="G765" s="100" t="str">
        <x:f>IF(COUNTA(A765:F765)=0,"",IF(OR(A765="",B765="",C765="",D765=""),"COMPLETE ROW",IF(COUNTIF(Clients!$A$5:$A$404,C765)=0,"CLIENT NOT FOUND",IF(COUNTIFS(Clients!$A$5:$A$404,C765,Clients!$B$5:$B$404,"Active")=0,"CLIENT NOT ACTIVE",IF(COUNTIF(Teams!$A$5:$A$104,D765)=0,"TEAM NOT FOUND","OK")))))</x:f>
      </x:c>
    </x:row>
    <x:row r="766">
      <x:c r="E766" s="102"/>
      <x:c r="G766" s="100" t="str">
        <x:f>IF(COUNTA(A766:F766)=0,"",IF(OR(A766="",B766="",C766="",D766=""),"COMPLETE ROW",IF(COUNTIF(Clients!$A$5:$A$404,C766)=0,"CLIENT NOT FOUND",IF(COUNTIFS(Clients!$A$5:$A$404,C766,Clients!$B$5:$B$404,"Active")=0,"CLIENT NOT ACTIVE",IF(COUNTIF(Teams!$A$5:$A$104,D766)=0,"TEAM NOT FOUND","OK")))))</x:f>
      </x:c>
    </x:row>
    <x:row r="767">
      <x:c r="E767" s="102"/>
      <x:c r="G767" s="100" t="str">
        <x:f>IF(COUNTA(A767:F767)=0,"",IF(OR(A767="",B767="",C767="",D767=""),"COMPLETE ROW",IF(COUNTIF(Clients!$A$5:$A$404,C767)=0,"CLIENT NOT FOUND",IF(COUNTIFS(Clients!$A$5:$A$404,C767,Clients!$B$5:$B$404,"Active")=0,"CLIENT NOT ACTIVE",IF(COUNTIF(Teams!$A$5:$A$104,D767)=0,"TEAM NOT FOUND","OK")))))</x:f>
      </x:c>
    </x:row>
    <x:row r="768">
      <x:c r="E768" s="102"/>
      <x:c r="G768" s="100" t="str">
        <x:f>IF(COUNTA(A768:F768)=0,"",IF(OR(A768="",B768="",C768="",D768=""),"COMPLETE ROW",IF(COUNTIF(Clients!$A$5:$A$404,C768)=0,"CLIENT NOT FOUND",IF(COUNTIFS(Clients!$A$5:$A$404,C768,Clients!$B$5:$B$404,"Active")=0,"CLIENT NOT ACTIVE",IF(COUNTIF(Teams!$A$5:$A$104,D768)=0,"TEAM NOT FOUND","OK")))))</x:f>
      </x:c>
    </x:row>
    <x:row r="769">
      <x:c r="E769" s="102"/>
      <x:c r="G769" s="100" t="str">
        <x:f>IF(COUNTA(A769:F769)=0,"",IF(OR(A769="",B769="",C769="",D769=""),"COMPLETE ROW",IF(COUNTIF(Clients!$A$5:$A$404,C769)=0,"CLIENT NOT FOUND",IF(COUNTIFS(Clients!$A$5:$A$404,C769,Clients!$B$5:$B$404,"Active")=0,"CLIENT NOT ACTIVE",IF(COUNTIF(Teams!$A$5:$A$104,D769)=0,"TEAM NOT FOUND","OK")))))</x:f>
      </x:c>
    </x:row>
    <x:row r="770">
      <x:c r="E770" s="102"/>
      <x:c r="G770" s="100" t="str">
        <x:f>IF(COUNTA(A770:F770)=0,"",IF(OR(A770="",B770="",C770="",D770=""),"COMPLETE ROW",IF(COUNTIF(Clients!$A$5:$A$404,C770)=0,"CLIENT NOT FOUND",IF(COUNTIFS(Clients!$A$5:$A$404,C770,Clients!$B$5:$B$404,"Active")=0,"CLIENT NOT ACTIVE",IF(COUNTIF(Teams!$A$5:$A$104,D770)=0,"TEAM NOT FOUND","OK")))))</x:f>
      </x:c>
    </x:row>
    <x:row r="771">
      <x:c r="E771" s="102"/>
      <x:c r="G771" s="100" t="str">
        <x:f>IF(COUNTA(A771:F771)=0,"",IF(OR(A771="",B771="",C771="",D771=""),"COMPLETE ROW",IF(COUNTIF(Clients!$A$5:$A$404,C771)=0,"CLIENT NOT FOUND",IF(COUNTIFS(Clients!$A$5:$A$404,C771,Clients!$B$5:$B$404,"Active")=0,"CLIENT NOT ACTIVE",IF(COUNTIF(Teams!$A$5:$A$104,D771)=0,"TEAM NOT FOUND","OK")))))</x:f>
      </x:c>
    </x:row>
    <x:row r="772">
      <x:c r="E772" s="102"/>
      <x:c r="G772" s="100" t="str">
        <x:f>IF(COUNTA(A772:F772)=0,"",IF(OR(A772="",B772="",C772="",D772=""),"COMPLETE ROW",IF(COUNTIF(Clients!$A$5:$A$404,C772)=0,"CLIENT NOT FOUND",IF(COUNTIFS(Clients!$A$5:$A$404,C772,Clients!$B$5:$B$404,"Active")=0,"CLIENT NOT ACTIVE",IF(COUNTIF(Teams!$A$5:$A$104,D772)=0,"TEAM NOT FOUND","OK")))))</x:f>
      </x:c>
    </x:row>
    <x:row r="773">
      <x:c r="E773" s="102"/>
      <x:c r="G773" s="100" t="str">
        <x:f>IF(COUNTA(A773:F773)=0,"",IF(OR(A773="",B773="",C773="",D773=""),"COMPLETE ROW",IF(COUNTIF(Clients!$A$5:$A$404,C773)=0,"CLIENT NOT FOUND",IF(COUNTIFS(Clients!$A$5:$A$404,C773,Clients!$B$5:$B$404,"Active")=0,"CLIENT NOT ACTIVE",IF(COUNTIF(Teams!$A$5:$A$104,D773)=0,"TEAM NOT FOUND","OK")))))</x:f>
      </x:c>
    </x:row>
    <x:row r="774">
      <x:c r="E774" s="102"/>
      <x:c r="G774" s="100" t="str">
        <x:f>IF(COUNTA(A774:F774)=0,"",IF(OR(A774="",B774="",C774="",D774=""),"COMPLETE ROW",IF(COUNTIF(Clients!$A$5:$A$404,C774)=0,"CLIENT NOT FOUND",IF(COUNTIFS(Clients!$A$5:$A$404,C774,Clients!$B$5:$B$404,"Active")=0,"CLIENT NOT ACTIVE",IF(COUNTIF(Teams!$A$5:$A$104,D774)=0,"TEAM NOT FOUND","OK")))))</x:f>
      </x:c>
    </x:row>
    <x:row r="775">
      <x:c r="E775" s="102"/>
      <x:c r="G775" s="100" t="str">
        <x:f>IF(COUNTA(A775:F775)=0,"",IF(OR(A775="",B775="",C775="",D775=""),"COMPLETE ROW",IF(COUNTIF(Clients!$A$5:$A$404,C775)=0,"CLIENT NOT FOUND",IF(COUNTIFS(Clients!$A$5:$A$404,C775,Clients!$B$5:$B$404,"Active")=0,"CLIENT NOT ACTIVE",IF(COUNTIF(Teams!$A$5:$A$104,D775)=0,"TEAM NOT FOUND","OK")))))</x:f>
      </x:c>
    </x:row>
    <x:row r="776">
      <x:c r="E776" s="102"/>
      <x:c r="G776" s="100" t="str">
        <x:f>IF(COUNTA(A776:F776)=0,"",IF(OR(A776="",B776="",C776="",D776=""),"COMPLETE ROW",IF(COUNTIF(Clients!$A$5:$A$404,C776)=0,"CLIENT NOT FOUND",IF(COUNTIFS(Clients!$A$5:$A$404,C776,Clients!$B$5:$B$404,"Active")=0,"CLIENT NOT ACTIVE",IF(COUNTIF(Teams!$A$5:$A$104,D776)=0,"TEAM NOT FOUND","OK")))))</x:f>
      </x:c>
    </x:row>
    <x:row r="777">
      <x:c r="E777" s="102"/>
      <x:c r="G777" s="100" t="str">
        <x:f>IF(COUNTA(A777:F777)=0,"",IF(OR(A777="",B777="",C777="",D777=""),"COMPLETE ROW",IF(COUNTIF(Clients!$A$5:$A$404,C777)=0,"CLIENT NOT FOUND",IF(COUNTIFS(Clients!$A$5:$A$404,C777,Clients!$B$5:$B$404,"Active")=0,"CLIENT NOT ACTIVE",IF(COUNTIF(Teams!$A$5:$A$104,D777)=0,"TEAM NOT FOUND","OK")))))</x:f>
      </x:c>
    </x:row>
    <x:row r="778">
      <x:c r="E778" s="102"/>
      <x:c r="G778" s="100" t="str">
        <x:f>IF(COUNTA(A778:F778)=0,"",IF(OR(A778="",B778="",C778="",D778=""),"COMPLETE ROW",IF(COUNTIF(Clients!$A$5:$A$404,C778)=0,"CLIENT NOT FOUND",IF(COUNTIFS(Clients!$A$5:$A$404,C778,Clients!$B$5:$B$404,"Active")=0,"CLIENT NOT ACTIVE",IF(COUNTIF(Teams!$A$5:$A$104,D778)=0,"TEAM NOT FOUND","OK")))))</x:f>
      </x:c>
    </x:row>
    <x:row r="779">
      <x:c r="E779" s="102"/>
      <x:c r="G779" s="100" t="str">
        <x:f>IF(COUNTA(A779:F779)=0,"",IF(OR(A779="",B779="",C779="",D779=""),"COMPLETE ROW",IF(COUNTIF(Clients!$A$5:$A$404,C779)=0,"CLIENT NOT FOUND",IF(COUNTIFS(Clients!$A$5:$A$404,C779,Clients!$B$5:$B$404,"Active")=0,"CLIENT NOT ACTIVE",IF(COUNTIF(Teams!$A$5:$A$104,D779)=0,"TEAM NOT FOUND","OK")))))</x:f>
      </x:c>
    </x:row>
    <x:row r="780">
      <x:c r="E780" s="102"/>
      <x:c r="G780" s="100" t="str">
        <x:f>IF(COUNTA(A780:F780)=0,"",IF(OR(A780="",B780="",C780="",D780=""),"COMPLETE ROW",IF(COUNTIF(Clients!$A$5:$A$404,C780)=0,"CLIENT NOT FOUND",IF(COUNTIFS(Clients!$A$5:$A$404,C780,Clients!$B$5:$B$404,"Active")=0,"CLIENT NOT ACTIVE",IF(COUNTIF(Teams!$A$5:$A$104,D780)=0,"TEAM NOT FOUND","OK")))))</x:f>
      </x:c>
    </x:row>
    <x:row r="781">
      <x:c r="E781" s="102"/>
      <x:c r="G781" s="100" t="str">
        <x:f>IF(COUNTA(A781:F781)=0,"",IF(OR(A781="",B781="",C781="",D781=""),"COMPLETE ROW",IF(COUNTIF(Clients!$A$5:$A$404,C781)=0,"CLIENT NOT FOUND",IF(COUNTIFS(Clients!$A$5:$A$404,C781,Clients!$B$5:$B$404,"Active")=0,"CLIENT NOT ACTIVE",IF(COUNTIF(Teams!$A$5:$A$104,D781)=0,"TEAM NOT FOUND","OK")))))</x:f>
      </x:c>
    </x:row>
    <x:row r="782">
      <x:c r="E782" s="102"/>
      <x:c r="G782" s="100" t="str">
        <x:f>IF(COUNTA(A782:F782)=0,"",IF(OR(A782="",B782="",C782="",D782=""),"COMPLETE ROW",IF(COUNTIF(Clients!$A$5:$A$404,C782)=0,"CLIENT NOT FOUND",IF(COUNTIFS(Clients!$A$5:$A$404,C782,Clients!$B$5:$B$404,"Active")=0,"CLIENT NOT ACTIVE",IF(COUNTIF(Teams!$A$5:$A$104,D782)=0,"TEAM NOT FOUND","OK")))))</x:f>
      </x:c>
    </x:row>
    <x:row r="783">
      <x:c r="E783" s="102"/>
      <x:c r="G783" s="100" t="str">
        <x:f>IF(COUNTA(A783:F783)=0,"",IF(OR(A783="",B783="",C783="",D783=""),"COMPLETE ROW",IF(COUNTIF(Clients!$A$5:$A$404,C783)=0,"CLIENT NOT FOUND",IF(COUNTIFS(Clients!$A$5:$A$404,C783,Clients!$B$5:$B$404,"Active")=0,"CLIENT NOT ACTIVE",IF(COUNTIF(Teams!$A$5:$A$104,D783)=0,"TEAM NOT FOUND","OK")))))</x:f>
      </x:c>
    </x:row>
    <x:row r="784">
      <x:c r="E784" s="102"/>
      <x:c r="G784" s="100" t="str">
        <x:f>IF(COUNTA(A784:F784)=0,"",IF(OR(A784="",B784="",C784="",D784=""),"COMPLETE ROW",IF(COUNTIF(Clients!$A$5:$A$404,C784)=0,"CLIENT NOT FOUND",IF(COUNTIFS(Clients!$A$5:$A$404,C784,Clients!$B$5:$B$404,"Active")=0,"CLIENT NOT ACTIVE",IF(COUNTIF(Teams!$A$5:$A$104,D784)=0,"TEAM NOT FOUND","OK")))))</x:f>
      </x:c>
    </x:row>
    <x:row r="785">
      <x:c r="E785" s="102"/>
      <x:c r="G785" s="100" t="str">
        <x:f>IF(COUNTA(A785:F785)=0,"",IF(OR(A785="",B785="",C785="",D785=""),"COMPLETE ROW",IF(COUNTIF(Clients!$A$5:$A$404,C785)=0,"CLIENT NOT FOUND",IF(COUNTIFS(Clients!$A$5:$A$404,C785,Clients!$B$5:$B$404,"Active")=0,"CLIENT NOT ACTIVE",IF(COUNTIF(Teams!$A$5:$A$104,D785)=0,"TEAM NOT FOUND","OK")))))</x:f>
      </x:c>
    </x:row>
    <x:row r="786">
      <x:c r="E786" s="102"/>
      <x:c r="G786" s="100" t="str">
        <x:f>IF(COUNTA(A786:F786)=0,"",IF(OR(A786="",B786="",C786="",D786=""),"COMPLETE ROW",IF(COUNTIF(Clients!$A$5:$A$404,C786)=0,"CLIENT NOT FOUND",IF(COUNTIFS(Clients!$A$5:$A$404,C786,Clients!$B$5:$B$404,"Active")=0,"CLIENT NOT ACTIVE",IF(COUNTIF(Teams!$A$5:$A$104,D786)=0,"TEAM NOT FOUND","OK")))))</x:f>
      </x:c>
    </x:row>
    <x:row r="787">
      <x:c r="E787" s="102"/>
      <x:c r="G787" s="100" t="str">
        <x:f>IF(COUNTA(A787:F787)=0,"",IF(OR(A787="",B787="",C787="",D787=""),"COMPLETE ROW",IF(COUNTIF(Clients!$A$5:$A$404,C787)=0,"CLIENT NOT FOUND",IF(COUNTIFS(Clients!$A$5:$A$404,C787,Clients!$B$5:$B$404,"Active")=0,"CLIENT NOT ACTIVE",IF(COUNTIF(Teams!$A$5:$A$104,D787)=0,"TEAM NOT FOUND","OK")))))</x:f>
      </x:c>
    </x:row>
    <x:row r="788">
      <x:c r="E788" s="102"/>
      <x:c r="G788" s="100" t="str">
        <x:f>IF(COUNTA(A788:F788)=0,"",IF(OR(A788="",B788="",C788="",D788=""),"COMPLETE ROW",IF(COUNTIF(Clients!$A$5:$A$404,C788)=0,"CLIENT NOT FOUND",IF(COUNTIFS(Clients!$A$5:$A$404,C788,Clients!$B$5:$B$404,"Active")=0,"CLIENT NOT ACTIVE",IF(COUNTIF(Teams!$A$5:$A$104,D788)=0,"TEAM NOT FOUND","OK")))))</x:f>
      </x:c>
    </x:row>
    <x:row r="789">
      <x:c r="E789" s="102"/>
      <x:c r="G789" s="100" t="str">
        <x:f>IF(COUNTA(A789:F789)=0,"",IF(OR(A789="",B789="",C789="",D789=""),"COMPLETE ROW",IF(COUNTIF(Clients!$A$5:$A$404,C789)=0,"CLIENT NOT FOUND",IF(COUNTIFS(Clients!$A$5:$A$404,C789,Clients!$B$5:$B$404,"Active")=0,"CLIENT NOT ACTIVE",IF(COUNTIF(Teams!$A$5:$A$104,D789)=0,"TEAM NOT FOUND","OK")))))</x:f>
      </x:c>
    </x:row>
    <x:row r="790">
      <x:c r="E790" s="102"/>
      <x:c r="G790" s="100" t="str">
        <x:f>IF(COUNTA(A790:F790)=0,"",IF(OR(A790="",B790="",C790="",D790=""),"COMPLETE ROW",IF(COUNTIF(Clients!$A$5:$A$404,C790)=0,"CLIENT NOT FOUND",IF(COUNTIFS(Clients!$A$5:$A$404,C790,Clients!$B$5:$B$404,"Active")=0,"CLIENT NOT ACTIVE",IF(COUNTIF(Teams!$A$5:$A$104,D790)=0,"TEAM NOT FOUND","OK")))))</x:f>
      </x:c>
    </x:row>
    <x:row r="791">
      <x:c r="E791" s="102"/>
      <x:c r="G791" s="100" t="str">
        <x:f>IF(COUNTA(A791:F791)=0,"",IF(OR(A791="",B791="",C791="",D791=""),"COMPLETE ROW",IF(COUNTIF(Clients!$A$5:$A$404,C791)=0,"CLIENT NOT FOUND",IF(COUNTIFS(Clients!$A$5:$A$404,C791,Clients!$B$5:$B$404,"Active")=0,"CLIENT NOT ACTIVE",IF(COUNTIF(Teams!$A$5:$A$104,D791)=0,"TEAM NOT FOUND","OK")))))</x:f>
      </x:c>
    </x:row>
    <x:row r="792">
      <x:c r="E792" s="102"/>
      <x:c r="G792" s="100" t="str">
        <x:f>IF(COUNTA(A792:F792)=0,"",IF(OR(A792="",B792="",C792="",D792=""),"COMPLETE ROW",IF(COUNTIF(Clients!$A$5:$A$404,C792)=0,"CLIENT NOT FOUND",IF(COUNTIFS(Clients!$A$5:$A$404,C792,Clients!$B$5:$B$404,"Active")=0,"CLIENT NOT ACTIVE",IF(COUNTIF(Teams!$A$5:$A$104,D792)=0,"TEAM NOT FOUND","OK")))))</x:f>
      </x:c>
    </x:row>
    <x:row r="793">
      <x:c r="E793" s="102"/>
      <x:c r="G793" s="100" t="str">
        <x:f>IF(COUNTA(A793:F793)=0,"",IF(OR(A793="",B793="",C793="",D793=""),"COMPLETE ROW",IF(COUNTIF(Clients!$A$5:$A$404,C793)=0,"CLIENT NOT FOUND",IF(COUNTIFS(Clients!$A$5:$A$404,C793,Clients!$B$5:$B$404,"Active")=0,"CLIENT NOT ACTIVE",IF(COUNTIF(Teams!$A$5:$A$104,D793)=0,"TEAM NOT FOUND","OK")))))</x:f>
      </x:c>
    </x:row>
    <x:row r="794">
      <x:c r="E794" s="102"/>
      <x:c r="G794" s="100" t="str">
        <x:f>IF(COUNTA(A794:F794)=0,"",IF(OR(A794="",B794="",C794="",D794=""),"COMPLETE ROW",IF(COUNTIF(Clients!$A$5:$A$404,C794)=0,"CLIENT NOT FOUND",IF(COUNTIFS(Clients!$A$5:$A$404,C794,Clients!$B$5:$B$404,"Active")=0,"CLIENT NOT ACTIVE",IF(COUNTIF(Teams!$A$5:$A$104,D794)=0,"TEAM NOT FOUND","OK")))))</x:f>
      </x:c>
    </x:row>
    <x:row r="795">
      <x:c r="E795" s="102"/>
      <x:c r="G795" s="100" t="str">
        <x:f>IF(COUNTA(A795:F795)=0,"",IF(OR(A795="",B795="",C795="",D795=""),"COMPLETE ROW",IF(COUNTIF(Clients!$A$5:$A$404,C795)=0,"CLIENT NOT FOUND",IF(COUNTIFS(Clients!$A$5:$A$404,C795,Clients!$B$5:$B$404,"Active")=0,"CLIENT NOT ACTIVE",IF(COUNTIF(Teams!$A$5:$A$104,D795)=0,"TEAM NOT FOUND","OK")))))</x:f>
      </x:c>
    </x:row>
    <x:row r="796">
      <x:c r="E796" s="102"/>
      <x:c r="G796" s="100" t="str">
        <x:f>IF(COUNTA(A796:F796)=0,"",IF(OR(A796="",B796="",C796="",D796=""),"COMPLETE ROW",IF(COUNTIF(Clients!$A$5:$A$404,C796)=0,"CLIENT NOT FOUND",IF(COUNTIFS(Clients!$A$5:$A$404,C796,Clients!$B$5:$B$404,"Active")=0,"CLIENT NOT ACTIVE",IF(COUNTIF(Teams!$A$5:$A$104,D796)=0,"TEAM NOT FOUND","OK")))))</x:f>
      </x:c>
    </x:row>
    <x:row r="797">
      <x:c r="E797" s="102"/>
      <x:c r="G797" s="100" t="str">
        <x:f>IF(COUNTA(A797:F797)=0,"",IF(OR(A797="",B797="",C797="",D797=""),"COMPLETE ROW",IF(COUNTIF(Clients!$A$5:$A$404,C797)=0,"CLIENT NOT FOUND",IF(COUNTIFS(Clients!$A$5:$A$404,C797,Clients!$B$5:$B$404,"Active")=0,"CLIENT NOT ACTIVE",IF(COUNTIF(Teams!$A$5:$A$104,D797)=0,"TEAM NOT FOUND","OK")))))</x:f>
      </x:c>
    </x:row>
    <x:row r="798">
      <x:c r="E798" s="102"/>
      <x:c r="G798" s="100" t="str">
        <x:f>IF(COUNTA(A798:F798)=0,"",IF(OR(A798="",B798="",C798="",D798=""),"COMPLETE ROW",IF(COUNTIF(Clients!$A$5:$A$404,C798)=0,"CLIENT NOT FOUND",IF(COUNTIFS(Clients!$A$5:$A$404,C798,Clients!$B$5:$B$404,"Active")=0,"CLIENT NOT ACTIVE",IF(COUNTIF(Teams!$A$5:$A$104,D798)=0,"TEAM NOT FOUND","OK")))))</x:f>
      </x:c>
    </x:row>
    <x:row r="799">
      <x:c r="E799" s="102"/>
      <x:c r="G799" s="100" t="str">
        <x:f>IF(COUNTA(A799:F799)=0,"",IF(OR(A799="",B799="",C799="",D799=""),"COMPLETE ROW",IF(COUNTIF(Clients!$A$5:$A$404,C799)=0,"CLIENT NOT FOUND",IF(COUNTIFS(Clients!$A$5:$A$404,C799,Clients!$B$5:$B$404,"Active")=0,"CLIENT NOT ACTIVE",IF(COUNTIF(Teams!$A$5:$A$104,D799)=0,"TEAM NOT FOUND","OK")))))</x:f>
      </x:c>
    </x:row>
    <x:row r="800">
      <x:c r="E800" s="102"/>
      <x:c r="G800" s="100" t="str">
        <x:f>IF(COUNTA(A800:F800)=0,"",IF(OR(A800="",B800="",C800="",D800=""),"COMPLETE ROW",IF(COUNTIF(Clients!$A$5:$A$404,C800)=0,"CLIENT NOT FOUND",IF(COUNTIFS(Clients!$A$5:$A$404,C800,Clients!$B$5:$B$404,"Active")=0,"CLIENT NOT ACTIVE",IF(COUNTIF(Teams!$A$5:$A$104,D800)=0,"TEAM NOT FOUND","OK")))))</x:f>
      </x:c>
    </x:row>
    <x:row r="801">
      <x:c r="E801" s="102"/>
      <x:c r="G801" s="100" t="str">
        <x:f>IF(COUNTA(A801:F801)=0,"",IF(OR(A801="",B801="",C801="",D801=""),"COMPLETE ROW",IF(COUNTIF(Clients!$A$5:$A$404,C801)=0,"CLIENT NOT FOUND",IF(COUNTIFS(Clients!$A$5:$A$404,C801,Clients!$B$5:$B$404,"Active")=0,"CLIENT NOT ACTIVE",IF(COUNTIF(Teams!$A$5:$A$104,D801)=0,"TEAM NOT FOUND","OK")))))</x:f>
      </x:c>
    </x:row>
    <x:row r="802">
      <x:c r="E802" s="102"/>
      <x:c r="G802" s="100" t="str">
        <x:f>IF(COUNTA(A802:F802)=0,"",IF(OR(A802="",B802="",C802="",D802=""),"COMPLETE ROW",IF(COUNTIF(Clients!$A$5:$A$404,C802)=0,"CLIENT NOT FOUND",IF(COUNTIFS(Clients!$A$5:$A$404,C802,Clients!$B$5:$B$404,"Active")=0,"CLIENT NOT ACTIVE",IF(COUNTIF(Teams!$A$5:$A$104,D802)=0,"TEAM NOT FOUND","OK")))))</x:f>
      </x:c>
    </x:row>
    <x:row r="803">
      <x:c r="E803" s="102"/>
      <x:c r="G803" s="100" t="str">
        <x:f>IF(COUNTA(A803:F803)=0,"",IF(OR(A803="",B803="",C803="",D803=""),"COMPLETE ROW",IF(COUNTIF(Clients!$A$5:$A$404,C803)=0,"CLIENT NOT FOUND",IF(COUNTIFS(Clients!$A$5:$A$404,C803,Clients!$B$5:$B$404,"Active")=0,"CLIENT NOT ACTIVE",IF(COUNTIF(Teams!$A$5:$A$104,D803)=0,"TEAM NOT FOUND","OK")))))</x:f>
      </x:c>
    </x:row>
    <x:row r="804">
      <x:c r="E804" s="102"/>
      <x:c r="G804" s="100" t="str">
        <x:f>IF(COUNTA(A804:F804)=0,"",IF(OR(A804="",B804="",C804="",D804=""),"COMPLETE ROW",IF(COUNTIF(Clients!$A$5:$A$404,C804)=0,"CLIENT NOT FOUND",IF(COUNTIFS(Clients!$A$5:$A$404,C804,Clients!$B$5:$B$404,"Active")=0,"CLIENT NOT ACTIVE",IF(COUNTIF(Teams!$A$5:$A$104,D804)=0,"TEAM NOT FOUND","OK")))))</x:f>
      </x:c>
    </x:row>
    <x:row r="805">
      <x:c r="E805" s="102"/>
      <x:c r="G805" s="100" t="str">
        <x:f>IF(COUNTA(A805:F805)=0,"",IF(OR(A805="",B805="",C805="",D805=""),"COMPLETE ROW",IF(COUNTIF(Clients!$A$5:$A$404,C805)=0,"CLIENT NOT FOUND",IF(COUNTIFS(Clients!$A$5:$A$404,C805,Clients!$B$5:$B$404,"Active")=0,"CLIENT NOT ACTIVE",IF(COUNTIF(Teams!$A$5:$A$104,D805)=0,"TEAM NOT FOUND","OK")))))</x:f>
      </x:c>
    </x:row>
    <x:row r="806">
      <x:c r="E806" s="102"/>
      <x:c r="G806" s="100" t="str">
        <x:f>IF(COUNTA(A806:F806)=0,"",IF(OR(A806="",B806="",C806="",D806=""),"COMPLETE ROW",IF(COUNTIF(Clients!$A$5:$A$404,C806)=0,"CLIENT NOT FOUND",IF(COUNTIFS(Clients!$A$5:$A$404,C806,Clients!$B$5:$B$404,"Active")=0,"CLIENT NOT ACTIVE",IF(COUNTIF(Teams!$A$5:$A$104,D806)=0,"TEAM NOT FOUND","OK")))))</x:f>
      </x:c>
    </x:row>
    <x:row r="807">
      <x:c r="E807" s="102"/>
      <x:c r="G807" s="100" t="str">
        <x:f>IF(COUNTA(A807:F807)=0,"",IF(OR(A807="",B807="",C807="",D807=""),"COMPLETE ROW",IF(COUNTIF(Clients!$A$5:$A$404,C807)=0,"CLIENT NOT FOUND",IF(COUNTIFS(Clients!$A$5:$A$404,C807,Clients!$B$5:$B$404,"Active")=0,"CLIENT NOT ACTIVE",IF(COUNTIF(Teams!$A$5:$A$104,D807)=0,"TEAM NOT FOUND","OK")))))</x:f>
      </x:c>
    </x:row>
    <x:row r="808">
      <x:c r="E808" s="102"/>
      <x:c r="G808" s="100" t="str">
        <x:f>IF(COUNTA(A808:F808)=0,"",IF(OR(A808="",B808="",C808="",D808=""),"COMPLETE ROW",IF(COUNTIF(Clients!$A$5:$A$404,C808)=0,"CLIENT NOT FOUND",IF(COUNTIFS(Clients!$A$5:$A$404,C808,Clients!$B$5:$B$404,"Active")=0,"CLIENT NOT ACTIVE",IF(COUNTIF(Teams!$A$5:$A$104,D808)=0,"TEAM NOT FOUND","OK")))))</x:f>
      </x:c>
    </x:row>
    <x:row r="809">
      <x:c r="E809" s="102"/>
      <x:c r="G809" s="100" t="str">
        <x:f>IF(COUNTA(A809:F809)=0,"",IF(OR(A809="",B809="",C809="",D809=""),"COMPLETE ROW",IF(COUNTIF(Clients!$A$5:$A$404,C809)=0,"CLIENT NOT FOUND",IF(COUNTIFS(Clients!$A$5:$A$404,C809,Clients!$B$5:$B$404,"Active")=0,"CLIENT NOT ACTIVE",IF(COUNTIF(Teams!$A$5:$A$104,D809)=0,"TEAM NOT FOUND","OK")))))</x:f>
      </x:c>
    </x:row>
    <x:row r="810">
      <x:c r="E810" s="102"/>
      <x:c r="G810" s="100" t="str">
        <x:f>IF(COUNTA(A810:F810)=0,"",IF(OR(A810="",B810="",C810="",D810=""),"COMPLETE ROW",IF(COUNTIF(Clients!$A$5:$A$404,C810)=0,"CLIENT NOT FOUND",IF(COUNTIFS(Clients!$A$5:$A$404,C810,Clients!$B$5:$B$404,"Active")=0,"CLIENT NOT ACTIVE",IF(COUNTIF(Teams!$A$5:$A$104,D810)=0,"TEAM NOT FOUND","OK")))))</x:f>
      </x:c>
    </x:row>
    <x:row r="811">
      <x:c r="E811" s="102"/>
      <x:c r="G811" s="100" t="str">
        <x:f>IF(COUNTA(A811:F811)=0,"",IF(OR(A811="",B811="",C811="",D811=""),"COMPLETE ROW",IF(COUNTIF(Clients!$A$5:$A$404,C811)=0,"CLIENT NOT FOUND",IF(COUNTIFS(Clients!$A$5:$A$404,C811,Clients!$B$5:$B$404,"Active")=0,"CLIENT NOT ACTIVE",IF(COUNTIF(Teams!$A$5:$A$104,D811)=0,"TEAM NOT FOUND","OK")))))</x:f>
      </x:c>
    </x:row>
    <x:row r="812">
      <x:c r="E812" s="102"/>
      <x:c r="G812" s="100" t="str">
        <x:f>IF(COUNTA(A812:F812)=0,"",IF(OR(A812="",B812="",C812="",D812=""),"COMPLETE ROW",IF(COUNTIF(Clients!$A$5:$A$404,C812)=0,"CLIENT NOT FOUND",IF(COUNTIFS(Clients!$A$5:$A$404,C812,Clients!$B$5:$B$404,"Active")=0,"CLIENT NOT ACTIVE",IF(COUNTIF(Teams!$A$5:$A$104,D812)=0,"TEAM NOT FOUND","OK")))))</x:f>
      </x:c>
    </x:row>
    <x:row r="813">
      <x:c r="E813" s="102"/>
      <x:c r="G813" s="100" t="str">
        <x:f>IF(COUNTA(A813:F813)=0,"",IF(OR(A813="",B813="",C813="",D813=""),"COMPLETE ROW",IF(COUNTIF(Clients!$A$5:$A$404,C813)=0,"CLIENT NOT FOUND",IF(COUNTIFS(Clients!$A$5:$A$404,C813,Clients!$B$5:$B$404,"Active")=0,"CLIENT NOT ACTIVE",IF(COUNTIF(Teams!$A$5:$A$104,D813)=0,"TEAM NOT FOUND","OK")))))</x:f>
      </x:c>
    </x:row>
    <x:row r="814">
      <x:c r="E814" s="102"/>
      <x:c r="G814" s="100" t="str">
        <x:f>IF(COUNTA(A814:F814)=0,"",IF(OR(A814="",B814="",C814="",D814=""),"COMPLETE ROW",IF(COUNTIF(Clients!$A$5:$A$404,C814)=0,"CLIENT NOT FOUND",IF(COUNTIFS(Clients!$A$5:$A$404,C814,Clients!$B$5:$B$404,"Active")=0,"CLIENT NOT ACTIVE",IF(COUNTIF(Teams!$A$5:$A$104,D814)=0,"TEAM NOT FOUND","OK")))))</x:f>
      </x:c>
    </x:row>
    <x:row r="815">
      <x:c r="E815" s="102"/>
      <x:c r="G815" s="100" t="str">
        <x:f>IF(COUNTA(A815:F815)=0,"",IF(OR(A815="",B815="",C815="",D815=""),"COMPLETE ROW",IF(COUNTIF(Clients!$A$5:$A$404,C815)=0,"CLIENT NOT FOUND",IF(COUNTIFS(Clients!$A$5:$A$404,C815,Clients!$B$5:$B$404,"Active")=0,"CLIENT NOT ACTIVE",IF(COUNTIF(Teams!$A$5:$A$104,D815)=0,"TEAM NOT FOUND","OK")))))</x:f>
      </x:c>
    </x:row>
    <x:row r="816">
      <x:c r="E816" s="102"/>
      <x:c r="G816" s="100" t="str">
        <x:f>IF(COUNTA(A816:F816)=0,"",IF(OR(A816="",B816="",C816="",D816=""),"COMPLETE ROW",IF(COUNTIF(Clients!$A$5:$A$404,C816)=0,"CLIENT NOT FOUND",IF(COUNTIFS(Clients!$A$5:$A$404,C816,Clients!$B$5:$B$404,"Active")=0,"CLIENT NOT ACTIVE",IF(COUNTIF(Teams!$A$5:$A$104,D816)=0,"TEAM NOT FOUND","OK")))))</x:f>
      </x:c>
    </x:row>
    <x:row r="817">
      <x:c r="E817" s="102"/>
      <x:c r="G817" s="100" t="str">
        <x:f>IF(COUNTA(A817:F817)=0,"",IF(OR(A817="",B817="",C817="",D817=""),"COMPLETE ROW",IF(COUNTIF(Clients!$A$5:$A$404,C817)=0,"CLIENT NOT FOUND",IF(COUNTIFS(Clients!$A$5:$A$404,C817,Clients!$B$5:$B$404,"Active")=0,"CLIENT NOT ACTIVE",IF(COUNTIF(Teams!$A$5:$A$104,D817)=0,"TEAM NOT FOUND","OK")))))</x:f>
      </x:c>
    </x:row>
    <x:row r="818">
      <x:c r="E818" s="102"/>
      <x:c r="G818" s="100" t="str">
        <x:f>IF(COUNTA(A818:F818)=0,"",IF(OR(A818="",B818="",C818="",D818=""),"COMPLETE ROW",IF(COUNTIF(Clients!$A$5:$A$404,C818)=0,"CLIENT NOT FOUND",IF(COUNTIFS(Clients!$A$5:$A$404,C818,Clients!$B$5:$B$404,"Active")=0,"CLIENT NOT ACTIVE",IF(COUNTIF(Teams!$A$5:$A$104,D818)=0,"TEAM NOT FOUND","OK")))))</x:f>
      </x:c>
    </x:row>
    <x:row r="819">
      <x:c r="E819" s="102"/>
      <x:c r="G819" s="100" t="str">
        <x:f>IF(COUNTA(A819:F819)=0,"",IF(OR(A819="",B819="",C819="",D819=""),"COMPLETE ROW",IF(COUNTIF(Clients!$A$5:$A$404,C819)=0,"CLIENT NOT FOUND",IF(COUNTIFS(Clients!$A$5:$A$404,C819,Clients!$B$5:$B$404,"Active")=0,"CLIENT NOT ACTIVE",IF(COUNTIF(Teams!$A$5:$A$104,D819)=0,"TEAM NOT FOUND","OK")))))</x:f>
      </x:c>
    </x:row>
    <x:row r="820">
      <x:c r="E820" s="102"/>
      <x:c r="G820" s="100" t="str">
        <x:f>IF(COUNTA(A820:F820)=0,"",IF(OR(A820="",B820="",C820="",D820=""),"COMPLETE ROW",IF(COUNTIF(Clients!$A$5:$A$404,C820)=0,"CLIENT NOT FOUND",IF(COUNTIFS(Clients!$A$5:$A$404,C820,Clients!$B$5:$B$404,"Active")=0,"CLIENT NOT ACTIVE",IF(COUNTIF(Teams!$A$5:$A$104,D820)=0,"TEAM NOT FOUND","OK")))))</x:f>
      </x:c>
    </x:row>
    <x:row r="821">
      <x:c r="E821" s="102"/>
      <x:c r="G821" s="100" t="str">
        <x:f>IF(COUNTA(A821:F821)=0,"",IF(OR(A821="",B821="",C821="",D821=""),"COMPLETE ROW",IF(COUNTIF(Clients!$A$5:$A$404,C821)=0,"CLIENT NOT FOUND",IF(COUNTIFS(Clients!$A$5:$A$404,C821,Clients!$B$5:$B$404,"Active")=0,"CLIENT NOT ACTIVE",IF(COUNTIF(Teams!$A$5:$A$104,D821)=0,"TEAM NOT FOUND","OK")))))</x:f>
      </x:c>
    </x:row>
    <x:row r="822">
      <x:c r="E822" s="102"/>
      <x:c r="G822" s="100" t="str">
        <x:f>IF(COUNTA(A822:F822)=0,"",IF(OR(A822="",B822="",C822="",D822=""),"COMPLETE ROW",IF(COUNTIF(Clients!$A$5:$A$404,C822)=0,"CLIENT NOT FOUND",IF(COUNTIFS(Clients!$A$5:$A$404,C822,Clients!$B$5:$B$404,"Active")=0,"CLIENT NOT ACTIVE",IF(COUNTIF(Teams!$A$5:$A$104,D822)=0,"TEAM NOT FOUND","OK")))))</x:f>
      </x:c>
    </x:row>
    <x:row r="823">
      <x:c r="E823" s="102"/>
      <x:c r="G823" s="100" t="str">
        <x:f>IF(COUNTA(A823:F823)=0,"",IF(OR(A823="",B823="",C823="",D823=""),"COMPLETE ROW",IF(COUNTIF(Clients!$A$5:$A$404,C823)=0,"CLIENT NOT FOUND",IF(COUNTIFS(Clients!$A$5:$A$404,C823,Clients!$B$5:$B$404,"Active")=0,"CLIENT NOT ACTIVE",IF(COUNTIF(Teams!$A$5:$A$104,D823)=0,"TEAM NOT FOUND","OK")))))</x:f>
      </x:c>
    </x:row>
    <x:row r="824">
      <x:c r="E824" s="102"/>
      <x:c r="G824" s="100" t="str">
        <x:f>IF(COUNTA(A824:F824)=0,"",IF(OR(A824="",B824="",C824="",D824=""),"COMPLETE ROW",IF(COUNTIF(Clients!$A$5:$A$404,C824)=0,"CLIENT NOT FOUND",IF(COUNTIFS(Clients!$A$5:$A$404,C824,Clients!$B$5:$B$404,"Active")=0,"CLIENT NOT ACTIVE",IF(COUNTIF(Teams!$A$5:$A$104,D824)=0,"TEAM NOT FOUND","OK")))))</x:f>
      </x:c>
    </x:row>
    <x:row r="825">
      <x:c r="E825" s="102"/>
      <x:c r="G825" s="100" t="str">
        <x:f>IF(COUNTA(A825:F825)=0,"",IF(OR(A825="",B825="",C825="",D825=""),"COMPLETE ROW",IF(COUNTIF(Clients!$A$5:$A$404,C825)=0,"CLIENT NOT FOUND",IF(COUNTIFS(Clients!$A$5:$A$404,C825,Clients!$B$5:$B$404,"Active")=0,"CLIENT NOT ACTIVE",IF(COUNTIF(Teams!$A$5:$A$104,D825)=0,"TEAM NOT FOUND","OK")))))</x:f>
      </x:c>
    </x:row>
    <x:row r="826">
      <x:c r="E826" s="102"/>
      <x:c r="G826" s="100" t="str">
        <x:f>IF(COUNTA(A826:F826)=0,"",IF(OR(A826="",B826="",C826="",D826=""),"COMPLETE ROW",IF(COUNTIF(Clients!$A$5:$A$404,C826)=0,"CLIENT NOT FOUND",IF(COUNTIFS(Clients!$A$5:$A$404,C826,Clients!$B$5:$B$404,"Active")=0,"CLIENT NOT ACTIVE",IF(COUNTIF(Teams!$A$5:$A$104,D826)=0,"TEAM NOT FOUND","OK")))))</x:f>
      </x:c>
    </x:row>
    <x:row r="827">
      <x:c r="E827" s="102"/>
      <x:c r="G827" s="100" t="str">
        <x:f>IF(COUNTA(A827:F827)=0,"",IF(OR(A827="",B827="",C827="",D827=""),"COMPLETE ROW",IF(COUNTIF(Clients!$A$5:$A$404,C827)=0,"CLIENT NOT FOUND",IF(COUNTIFS(Clients!$A$5:$A$404,C827,Clients!$B$5:$B$404,"Active")=0,"CLIENT NOT ACTIVE",IF(COUNTIF(Teams!$A$5:$A$104,D827)=0,"TEAM NOT FOUND","OK")))))</x:f>
      </x:c>
    </x:row>
    <x:row r="828">
      <x:c r="E828" s="102"/>
      <x:c r="G828" s="100" t="str">
        <x:f>IF(COUNTA(A828:F828)=0,"",IF(OR(A828="",B828="",C828="",D828=""),"COMPLETE ROW",IF(COUNTIF(Clients!$A$5:$A$404,C828)=0,"CLIENT NOT FOUND",IF(COUNTIFS(Clients!$A$5:$A$404,C828,Clients!$B$5:$B$404,"Active")=0,"CLIENT NOT ACTIVE",IF(COUNTIF(Teams!$A$5:$A$104,D828)=0,"TEAM NOT FOUND","OK")))))</x:f>
      </x:c>
    </x:row>
    <x:row r="829">
      <x:c r="E829" s="102"/>
      <x:c r="G829" s="100" t="str">
        <x:f>IF(COUNTA(A829:F829)=0,"",IF(OR(A829="",B829="",C829="",D829=""),"COMPLETE ROW",IF(COUNTIF(Clients!$A$5:$A$404,C829)=0,"CLIENT NOT FOUND",IF(COUNTIFS(Clients!$A$5:$A$404,C829,Clients!$B$5:$B$404,"Active")=0,"CLIENT NOT ACTIVE",IF(COUNTIF(Teams!$A$5:$A$104,D829)=0,"TEAM NOT FOUND","OK")))))</x:f>
      </x:c>
    </x:row>
    <x:row r="830">
      <x:c r="E830" s="102"/>
      <x:c r="G830" s="100" t="str">
        <x:f>IF(COUNTA(A830:F830)=0,"",IF(OR(A830="",B830="",C830="",D830=""),"COMPLETE ROW",IF(COUNTIF(Clients!$A$5:$A$404,C830)=0,"CLIENT NOT FOUND",IF(COUNTIFS(Clients!$A$5:$A$404,C830,Clients!$B$5:$B$404,"Active")=0,"CLIENT NOT ACTIVE",IF(COUNTIF(Teams!$A$5:$A$104,D830)=0,"TEAM NOT FOUND","OK")))))</x:f>
      </x:c>
    </x:row>
    <x:row r="831">
      <x:c r="E831" s="102"/>
      <x:c r="G831" s="100" t="str">
        <x:f>IF(COUNTA(A831:F831)=0,"",IF(OR(A831="",B831="",C831="",D831=""),"COMPLETE ROW",IF(COUNTIF(Clients!$A$5:$A$404,C831)=0,"CLIENT NOT FOUND",IF(COUNTIFS(Clients!$A$5:$A$404,C831,Clients!$B$5:$B$404,"Active")=0,"CLIENT NOT ACTIVE",IF(COUNTIF(Teams!$A$5:$A$104,D831)=0,"TEAM NOT FOUND","OK")))))</x:f>
      </x:c>
    </x:row>
    <x:row r="832">
      <x:c r="E832" s="102"/>
      <x:c r="G832" s="100" t="str">
        <x:f>IF(COUNTA(A832:F832)=0,"",IF(OR(A832="",B832="",C832="",D832=""),"COMPLETE ROW",IF(COUNTIF(Clients!$A$5:$A$404,C832)=0,"CLIENT NOT FOUND",IF(COUNTIFS(Clients!$A$5:$A$404,C832,Clients!$B$5:$B$404,"Active")=0,"CLIENT NOT ACTIVE",IF(COUNTIF(Teams!$A$5:$A$104,D832)=0,"TEAM NOT FOUND","OK")))))</x:f>
      </x:c>
    </x:row>
    <x:row r="833">
      <x:c r="E833" s="102"/>
      <x:c r="G833" s="100" t="str">
        <x:f>IF(COUNTA(A833:F833)=0,"",IF(OR(A833="",B833="",C833="",D833=""),"COMPLETE ROW",IF(COUNTIF(Clients!$A$5:$A$404,C833)=0,"CLIENT NOT FOUND",IF(COUNTIFS(Clients!$A$5:$A$404,C833,Clients!$B$5:$B$404,"Active")=0,"CLIENT NOT ACTIVE",IF(COUNTIF(Teams!$A$5:$A$104,D833)=0,"TEAM NOT FOUND","OK")))))</x:f>
      </x:c>
    </x:row>
    <x:row r="834">
      <x:c r="E834" s="102"/>
      <x:c r="G834" s="100" t="str">
        <x:f>IF(COUNTA(A834:F834)=0,"",IF(OR(A834="",B834="",C834="",D834=""),"COMPLETE ROW",IF(COUNTIF(Clients!$A$5:$A$404,C834)=0,"CLIENT NOT FOUND",IF(COUNTIFS(Clients!$A$5:$A$404,C834,Clients!$B$5:$B$404,"Active")=0,"CLIENT NOT ACTIVE",IF(COUNTIF(Teams!$A$5:$A$104,D834)=0,"TEAM NOT FOUND","OK")))))</x:f>
      </x:c>
    </x:row>
    <x:row r="835">
      <x:c r="E835" s="102"/>
      <x:c r="G835" s="100" t="str">
        <x:f>IF(COUNTA(A835:F835)=0,"",IF(OR(A835="",B835="",C835="",D835=""),"COMPLETE ROW",IF(COUNTIF(Clients!$A$5:$A$404,C835)=0,"CLIENT NOT FOUND",IF(COUNTIFS(Clients!$A$5:$A$404,C835,Clients!$B$5:$B$404,"Active")=0,"CLIENT NOT ACTIVE",IF(COUNTIF(Teams!$A$5:$A$104,D835)=0,"TEAM NOT FOUND","OK")))))</x:f>
      </x:c>
    </x:row>
    <x:row r="836">
      <x:c r="E836" s="102"/>
      <x:c r="G836" s="100" t="str">
        <x:f>IF(COUNTA(A836:F836)=0,"",IF(OR(A836="",B836="",C836="",D836=""),"COMPLETE ROW",IF(COUNTIF(Clients!$A$5:$A$404,C836)=0,"CLIENT NOT FOUND",IF(COUNTIFS(Clients!$A$5:$A$404,C836,Clients!$B$5:$B$404,"Active")=0,"CLIENT NOT ACTIVE",IF(COUNTIF(Teams!$A$5:$A$104,D836)=0,"TEAM NOT FOUND","OK")))))</x:f>
      </x:c>
    </x:row>
    <x:row r="837">
      <x:c r="E837" s="102"/>
      <x:c r="G837" s="100" t="str">
        <x:f>IF(COUNTA(A837:F837)=0,"",IF(OR(A837="",B837="",C837="",D837=""),"COMPLETE ROW",IF(COUNTIF(Clients!$A$5:$A$404,C837)=0,"CLIENT NOT FOUND",IF(COUNTIFS(Clients!$A$5:$A$404,C837,Clients!$B$5:$B$404,"Active")=0,"CLIENT NOT ACTIVE",IF(COUNTIF(Teams!$A$5:$A$104,D837)=0,"TEAM NOT FOUND","OK")))))</x:f>
      </x:c>
    </x:row>
    <x:row r="838">
      <x:c r="E838" s="102"/>
      <x:c r="G838" s="100" t="str">
        <x:f>IF(COUNTA(A838:F838)=0,"",IF(OR(A838="",B838="",C838="",D838=""),"COMPLETE ROW",IF(COUNTIF(Clients!$A$5:$A$404,C838)=0,"CLIENT NOT FOUND",IF(COUNTIFS(Clients!$A$5:$A$404,C838,Clients!$B$5:$B$404,"Active")=0,"CLIENT NOT ACTIVE",IF(COUNTIF(Teams!$A$5:$A$104,D838)=0,"TEAM NOT FOUND","OK")))))</x:f>
      </x:c>
    </x:row>
    <x:row r="839">
      <x:c r="E839" s="102"/>
      <x:c r="G839" s="100" t="str">
        <x:f>IF(COUNTA(A839:F839)=0,"",IF(OR(A839="",B839="",C839="",D839=""),"COMPLETE ROW",IF(COUNTIF(Clients!$A$5:$A$404,C839)=0,"CLIENT NOT FOUND",IF(COUNTIFS(Clients!$A$5:$A$404,C839,Clients!$B$5:$B$404,"Active")=0,"CLIENT NOT ACTIVE",IF(COUNTIF(Teams!$A$5:$A$104,D839)=0,"TEAM NOT FOUND","OK")))))</x:f>
      </x:c>
    </x:row>
    <x:row r="840">
      <x:c r="E840" s="102"/>
      <x:c r="G840" s="100" t="str">
        <x:f>IF(COUNTA(A840:F840)=0,"",IF(OR(A840="",B840="",C840="",D840=""),"COMPLETE ROW",IF(COUNTIF(Clients!$A$5:$A$404,C840)=0,"CLIENT NOT FOUND",IF(COUNTIFS(Clients!$A$5:$A$404,C840,Clients!$B$5:$B$404,"Active")=0,"CLIENT NOT ACTIVE",IF(COUNTIF(Teams!$A$5:$A$104,D840)=0,"TEAM NOT FOUND","OK")))))</x:f>
      </x:c>
    </x:row>
    <x:row r="841">
      <x:c r="E841" s="102"/>
      <x:c r="G841" s="100" t="str">
        <x:f>IF(COUNTA(A841:F841)=0,"",IF(OR(A841="",B841="",C841="",D841=""),"COMPLETE ROW",IF(COUNTIF(Clients!$A$5:$A$404,C841)=0,"CLIENT NOT FOUND",IF(COUNTIFS(Clients!$A$5:$A$404,C841,Clients!$B$5:$B$404,"Active")=0,"CLIENT NOT ACTIVE",IF(COUNTIF(Teams!$A$5:$A$104,D841)=0,"TEAM NOT FOUND","OK")))))</x:f>
      </x:c>
    </x:row>
    <x:row r="842">
      <x:c r="E842" s="102"/>
      <x:c r="G842" s="100" t="str">
        <x:f>IF(COUNTA(A842:F842)=0,"",IF(OR(A842="",B842="",C842="",D842=""),"COMPLETE ROW",IF(COUNTIF(Clients!$A$5:$A$404,C842)=0,"CLIENT NOT FOUND",IF(COUNTIFS(Clients!$A$5:$A$404,C842,Clients!$B$5:$B$404,"Active")=0,"CLIENT NOT ACTIVE",IF(COUNTIF(Teams!$A$5:$A$104,D842)=0,"TEAM NOT FOUND","OK")))))</x:f>
      </x:c>
    </x:row>
    <x:row r="843">
      <x:c r="E843" s="102"/>
      <x:c r="G843" s="100" t="str">
        <x:f>IF(COUNTA(A843:F843)=0,"",IF(OR(A843="",B843="",C843="",D843=""),"COMPLETE ROW",IF(COUNTIF(Clients!$A$5:$A$404,C843)=0,"CLIENT NOT FOUND",IF(COUNTIFS(Clients!$A$5:$A$404,C843,Clients!$B$5:$B$404,"Active")=0,"CLIENT NOT ACTIVE",IF(COUNTIF(Teams!$A$5:$A$104,D843)=0,"TEAM NOT FOUND","OK")))))</x:f>
      </x:c>
    </x:row>
    <x:row r="844">
      <x:c r="E844" s="102"/>
      <x:c r="G844" s="100" t="str">
        <x:f>IF(COUNTA(A844:F844)=0,"",IF(OR(A844="",B844="",C844="",D844=""),"COMPLETE ROW",IF(COUNTIF(Clients!$A$5:$A$404,C844)=0,"CLIENT NOT FOUND",IF(COUNTIFS(Clients!$A$5:$A$404,C844,Clients!$B$5:$B$404,"Active")=0,"CLIENT NOT ACTIVE",IF(COUNTIF(Teams!$A$5:$A$104,D844)=0,"TEAM NOT FOUND","OK")))))</x:f>
      </x:c>
    </x:row>
    <x:row r="845">
      <x:c r="E845" s="102"/>
      <x:c r="G845" s="100" t="str">
        <x:f>IF(COUNTA(A845:F845)=0,"",IF(OR(A845="",B845="",C845="",D845=""),"COMPLETE ROW",IF(COUNTIF(Clients!$A$5:$A$404,C845)=0,"CLIENT NOT FOUND",IF(COUNTIFS(Clients!$A$5:$A$404,C845,Clients!$B$5:$B$404,"Active")=0,"CLIENT NOT ACTIVE",IF(COUNTIF(Teams!$A$5:$A$104,D845)=0,"TEAM NOT FOUND","OK")))))</x:f>
      </x:c>
    </x:row>
    <x:row r="846">
      <x:c r="E846" s="102"/>
      <x:c r="G846" s="100" t="str">
        <x:f>IF(COUNTA(A846:F846)=0,"",IF(OR(A846="",B846="",C846="",D846=""),"COMPLETE ROW",IF(COUNTIF(Clients!$A$5:$A$404,C846)=0,"CLIENT NOT FOUND",IF(COUNTIFS(Clients!$A$5:$A$404,C846,Clients!$B$5:$B$404,"Active")=0,"CLIENT NOT ACTIVE",IF(COUNTIF(Teams!$A$5:$A$104,D846)=0,"TEAM NOT FOUND","OK")))))</x:f>
      </x:c>
    </x:row>
    <x:row r="847">
      <x:c r="E847" s="102"/>
      <x:c r="G847" s="100" t="str">
        <x:f>IF(COUNTA(A847:F847)=0,"",IF(OR(A847="",B847="",C847="",D847=""),"COMPLETE ROW",IF(COUNTIF(Clients!$A$5:$A$404,C847)=0,"CLIENT NOT FOUND",IF(COUNTIFS(Clients!$A$5:$A$404,C847,Clients!$B$5:$B$404,"Active")=0,"CLIENT NOT ACTIVE",IF(COUNTIF(Teams!$A$5:$A$104,D847)=0,"TEAM NOT FOUND","OK")))))</x:f>
      </x:c>
    </x:row>
    <x:row r="848">
      <x:c r="E848" s="102"/>
      <x:c r="G848" s="100" t="str">
        <x:f>IF(COUNTA(A848:F848)=0,"",IF(OR(A848="",B848="",C848="",D848=""),"COMPLETE ROW",IF(COUNTIF(Clients!$A$5:$A$404,C848)=0,"CLIENT NOT FOUND",IF(COUNTIFS(Clients!$A$5:$A$404,C848,Clients!$B$5:$B$404,"Active")=0,"CLIENT NOT ACTIVE",IF(COUNTIF(Teams!$A$5:$A$104,D848)=0,"TEAM NOT FOUND","OK")))))</x:f>
      </x:c>
    </x:row>
    <x:row r="849">
      <x:c r="E849" s="102"/>
      <x:c r="G849" s="100" t="str">
        <x:f>IF(COUNTA(A849:F849)=0,"",IF(OR(A849="",B849="",C849="",D849=""),"COMPLETE ROW",IF(COUNTIF(Clients!$A$5:$A$404,C849)=0,"CLIENT NOT FOUND",IF(COUNTIFS(Clients!$A$5:$A$404,C849,Clients!$B$5:$B$404,"Active")=0,"CLIENT NOT ACTIVE",IF(COUNTIF(Teams!$A$5:$A$104,D849)=0,"TEAM NOT FOUND","OK")))))</x:f>
      </x:c>
    </x:row>
    <x:row r="850">
      <x:c r="E850" s="102"/>
      <x:c r="G850" s="100" t="str">
        <x:f>IF(COUNTA(A850:F850)=0,"",IF(OR(A850="",B850="",C850="",D850=""),"COMPLETE ROW",IF(COUNTIF(Clients!$A$5:$A$404,C850)=0,"CLIENT NOT FOUND",IF(COUNTIFS(Clients!$A$5:$A$404,C850,Clients!$B$5:$B$404,"Active")=0,"CLIENT NOT ACTIVE",IF(COUNTIF(Teams!$A$5:$A$104,D850)=0,"TEAM NOT FOUND","OK")))))</x:f>
      </x:c>
    </x:row>
    <x:row r="851">
      <x:c r="E851" s="102"/>
      <x:c r="G851" s="100" t="str">
        <x:f>IF(COUNTA(A851:F851)=0,"",IF(OR(A851="",B851="",C851="",D851=""),"COMPLETE ROW",IF(COUNTIF(Clients!$A$5:$A$404,C851)=0,"CLIENT NOT FOUND",IF(COUNTIFS(Clients!$A$5:$A$404,C851,Clients!$B$5:$B$404,"Active")=0,"CLIENT NOT ACTIVE",IF(COUNTIF(Teams!$A$5:$A$104,D851)=0,"TEAM NOT FOUND","OK")))))</x:f>
      </x:c>
    </x:row>
    <x:row r="852">
      <x:c r="E852" s="102"/>
      <x:c r="G852" s="100" t="str">
        <x:f>IF(COUNTA(A852:F852)=0,"",IF(OR(A852="",B852="",C852="",D852=""),"COMPLETE ROW",IF(COUNTIF(Clients!$A$5:$A$404,C852)=0,"CLIENT NOT FOUND",IF(COUNTIFS(Clients!$A$5:$A$404,C852,Clients!$B$5:$B$404,"Active")=0,"CLIENT NOT ACTIVE",IF(COUNTIF(Teams!$A$5:$A$104,D852)=0,"TEAM NOT FOUND","OK")))))</x:f>
      </x:c>
    </x:row>
    <x:row r="853">
      <x:c r="E853" s="102"/>
      <x:c r="G853" s="100" t="str">
        <x:f>IF(COUNTA(A853:F853)=0,"",IF(OR(A853="",B853="",C853="",D853=""),"COMPLETE ROW",IF(COUNTIF(Clients!$A$5:$A$404,C853)=0,"CLIENT NOT FOUND",IF(COUNTIFS(Clients!$A$5:$A$404,C853,Clients!$B$5:$B$404,"Active")=0,"CLIENT NOT ACTIVE",IF(COUNTIF(Teams!$A$5:$A$104,D853)=0,"TEAM NOT FOUND","OK")))))</x:f>
      </x:c>
    </x:row>
    <x:row r="854">
      <x:c r="E854" s="102"/>
      <x:c r="G854" s="100" t="str">
        <x:f>IF(COUNTA(A854:F854)=0,"",IF(OR(A854="",B854="",C854="",D854=""),"COMPLETE ROW",IF(COUNTIF(Clients!$A$5:$A$404,C854)=0,"CLIENT NOT FOUND",IF(COUNTIFS(Clients!$A$5:$A$404,C854,Clients!$B$5:$B$404,"Active")=0,"CLIENT NOT ACTIVE",IF(COUNTIF(Teams!$A$5:$A$104,D854)=0,"TEAM NOT FOUND","OK")))))</x:f>
      </x:c>
    </x:row>
    <x:row r="855">
      <x:c r="E855" s="102"/>
      <x:c r="G855" s="100" t="str">
        <x:f>IF(COUNTA(A855:F855)=0,"",IF(OR(A855="",B855="",C855="",D855=""),"COMPLETE ROW",IF(COUNTIF(Clients!$A$5:$A$404,C855)=0,"CLIENT NOT FOUND",IF(COUNTIFS(Clients!$A$5:$A$404,C855,Clients!$B$5:$B$404,"Active")=0,"CLIENT NOT ACTIVE",IF(COUNTIF(Teams!$A$5:$A$104,D855)=0,"TEAM NOT FOUND","OK")))))</x:f>
      </x:c>
    </x:row>
    <x:row r="856">
      <x:c r="E856" s="102"/>
      <x:c r="G856" s="100" t="str">
        <x:f>IF(COUNTA(A856:F856)=0,"",IF(OR(A856="",B856="",C856="",D856=""),"COMPLETE ROW",IF(COUNTIF(Clients!$A$5:$A$404,C856)=0,"CLIENT NOT FOUND",IF(COUNTIFS(Clients!$A$5:$A$404,C856,Clients!$B$5:$B$404,"Active")=0,"CLIENT NOT ACTIVE",IF(COUNTIF(Teams!$A$5:$A$104,D856)=0,"TEAM NOT FOUND","OK")))))</x:f>
      </x:c>
    </x:row>
    <x:row r="857">
      <x:c r="E857" s="102"/>
      <x:c r="G857" s="100" t="str">
        <x:f>IF(COUNTA(A857:F857)=0,"",IF(OR(A857="",B857="",C857="",D857=""),"COMPLETE ROW",IF(COUNTIF(Clients!$A$5:$A$404,C857)=0,"CLIENT NOT FOUND",IF(COUNTIFS(Clients!$A$5:$A$404,C857,Clients!$B$5:$B$404,"Active")=0,"CLIENT NOT ACTIVE",IF(COUNTIF(Teams!$A$5:$A$104,D857)=0,"TEAM NOT FOUND","OK")))))</x:f>
      </x:c>
    </x:row>
    <x:row r="858">
      <x:c r="E858" s="102"/>
      <x:c r="G858" s="100" t="str">
        <x:f>IF(COUNTA(A858:F858)=0,"",IF(OR(A858="",B858="",C858="",D858=""),"COMPLETE ROW",IF(COUNTIF(Clients!$A$5:$A$404,C858)=0,"CLIENT NOT FOUND",IF(COUNTIFS(Clients!$A$5:$A$404,C858,Clients!$B$5:$B$404,"Active")=0,"CLIENT NOT ACTIVE",IF(COUNTIF(Teams!$A$5:$A$104,D858)=0,"TEAM NOT FOUND","OK")))))</x:f>
      </x:c>
    </x:row>
    <x:row r="859">
      <x:c r="E859" s="102"/>
      <x:c r="G859" s="100" t="str">
        <x:f>IF(COUNTA(A859:F859)=0,"",IF(OR(A859="",B859="",C859="",D859=""),"COMPLETE ROW",IF(COUNTIF(Clients!$A$5:$A$404,C859)=0,"CLIENT NOT FOUND",IF(COUNTIFS(Clients!$A$5:$A$404,C859,Clients!$B$5:$B$404,"Active")=0,"CLIENT NOT ACTIVE",IF(COUNTIF(Teams!$A$5:$A$104,D859)=0,"TEAM NOT FOUND","OK")))))</x:f>
      </x:c>
    </x:row>
    <x:row r="860">
      <x:c r="E860" s="102"/>
      <x:c r="G860" s="100" t="str">
        <x:f>IF(COUNTA(A860:F860)=0,"",IF(OR(A860="",B860="",C860="",D860=""),"COMPLETE ROW",IF(COUNTIF(Clients!$A$5:$A$404,C860)=0,"CLIENT NOT FOUND",IF(COUNTIFS(Clients!$A$5:$A$404,C860,Clients!$B$5:$B$404,"Active")=0,"CLIENT NOT ACTIVE",IF(COUNTIF(Teams!$A$5:$A$104,D860)=0,"TEAM NOT FOUND","OK")))))</x:f>
      </x:c>
    </x:row>
    <x:row r="861">
      <x:c r="E861" s="102"/>
      <x:c r="G861" s="100" t="str">
        <x:f>IF(COUNTA(A861:F861)=0,"",IF(OR(A861="",B861="",C861="",D861=""),"COMPLETE ROW",IF(COUNTIF(Clients!$A$5:$A$404,C861)=0,"CLIENT NOT FOUND",IF(COUNTIFS(Clients!$A$5:$A$404,C861,Clients!$B$5:$B$404,"Active")=0,"CLIENT NOT ACTIVE",IF(COUNTIF(Teams!$A$5:$A$104,D861)=0,"TEAM NOT FOUND","OK")))))</x:f>
      </x:c>
    </x:row>
    <x:row r="862">
      <x:c r="E862" s="102"/>
      <x:c r="G862" s="100" t="str">
        <x:f>IF(COUNTA(A862:F862)=0,"",IF(OR(A862="",B862="",C862="",D862=""),"COMPLETE ROW",IF(COUNTIF(Clients!$A$5:$A$404,C862)=0,"CLIENT NOT FOUND",IF(COUNTIFS(Clients!$A$5:$A$404,C862,Clients!$B$5:$B$404,"Active")=0,"CLIENT NOT ACTIVE",IF(COUNTIF(Teams!$A$5:$A$104,D862)=0,"TEAM NOT FOUND","OK")))))</x:f>
      </x:c>
    </x:row>
    <x:row r="863">
      <x:c r="E863" s="102"/>
      <x:c r="G863" s="100" t="str">
        <x:f>IF(COUNTA(A863:F863)=0,"",IF(OR(A863="",B863="",C863="",D863=""),"COMPLETE ROW",IF(COUNTIF(Clients!$A$5:$A$404,C863)=0,"CLIENT NOT FOUND",IF(COUNTIFS(Clients!$A$5:$A$404,C863,Clients!$B$5:$B$404,"Active")=0,"CLIENT NOT ACTIVE",IF(COUNTIF(Teams!$A$5:$A$104,D863)=0,"TEAM NOT FOUND","OK")))))</x:f>
      </x:c>
    </x:row>
    <x:row r="864">
      <x:c r="E864" s="102"/>
      <x:c r="G864" s="100" t="str">
        <x:f>IF(COUNTA(A864:F864)=0,"",IF(OR(A864="",B864="",C864="",D864=""),"COMPLETE ROW",IF(COUNTIF(Clients!$A$5:$A$404,C864)=0,"CLIENT NOT FOUND",IF(COUNTIFS(Clients!$A$5:$A$404,C864,Clients!$B$5:$B$404,"Active")=0,"CLIENT NOT ACTIVE",IF(COUNTIF(Teams!$A$5:$A$104,D864)=0,"TEAM NOT FOUND","OK")))))</x:f>
      </x:c>
    </x:row>
    <x:row r="865">
      <x:c r="E865" s="102"/>
      <x:c r="G865" s="100" t="str">
        <x:f>IF(COUNTA(A865:F865)=0,"",IF(OR(A865="",B865="",C865="",D865=""),"COMPLETE ROW",IF(COUNTIF(Clients!$A$5:$A$404,C865)=0,"CLIENT NOT FOUND",IF(COUNTIFS(Clients!$A$5:$A$404,C865,Clients!$B$5:$B$404,"Active")=0,"CLIENT NOT ACTIVE",IF(COUNTIF(Teams!$A$5:$A$104,D865)=0,"TEAM NOT FOUND","OK")))))</x:f>
      </x:c>
    </x:row>
    <x:row r="866">
      <x:c r="E866" s="102"/>
      <x:c r="G866" s="100" t="str">
        <x:f>IF(COUNTA(A866:F866)=0,"",IF(OR(A866="",B866="",C866="",D866=""),"COMPLETE ROW",IF(COUNTIF(Clients!$A$5:$A$404,C866)=0,"CLIENT NOT FOUND",IF(COUNTIFS(Clients!$A$5:$A$404,C866,Clients!$B$5:$B$404,"Active")=0,"CLIENT NOT ACTIVE",IF(COUNTIF(Teams!$A$5:$A$104,D866)=0,"TEAM NOT FOUND","OK")))))</x:f>
      </x:c>
    </x:row>
    <x:row r="867">
      <x:c r="E867" s="102"/>
      <x:c r="G867" s="100" t="str">
        <x:f>IF(COUNTA(A867:F867)=0,"",IF(OR(A867="",B867="",C867="",D867=""),"COMPLETE ROW",IF(COUNTIF(Clients!$A$5:$A$404,C867)=0,"CLIENT NOT FOUND",IF(COUNTIFS(Clients!$A$5:$A$404,C867,Clients!$B$5:$B$404,"Active")=0,"CLIENT NOT ACTIVE",IF(COUNTIF(Teams!$A$5:$A$104,D867)=0,"TEAM NOT FOUND","OK")))))</x:f>
      </x:c>
    </x:row>
    <x:row r="868">
      <x:c r="E868" s="102"/>
      <x:c r="G868" s="100" t="str">
        <x:f>IF(COUNTA(A868:F868)=0,"",IF(OR(A868="",B868="",C868="",D868=""),"COMPLETE ROW",IF(COUNTIF(Clients!$A$5:$A$404,C868)=0,"CLIENT NOT FOUND",IF(COUNTIFS(Clients!$A$5:$A$404,C868,Clients!$B$5:$B$404,"Active")=0,"CLIENT NOT ACTIVE",IF(COUNTIF(Teams!$A$5:$A$104,D868)=0,"TEAM NOT FOUND","OK")))))</x:f>
      </x:c>
    </x:row>
    <x:row r="869">
      <x:c r="E869" s="102"/>
      <x:c r="G869" s="100" t="str">
        <x:f>IF(COUNTA(A869:F869)=0,"",IF(OR(A869="",B869="",C869="",D869=""),"COMPLETE ROW",IF(COUNTIF(Clients!$A$5:$A$404,C869)=0,"CLIENT NOT FOUND",IF(COUNTIFS(Clients!$A$5:$A$404,C869,Clients!$B$5:$B$404,"Active")=0,"CLIENT NOT ACTIVE",IF(COUNTIF(Teams!$A$5:$A$104,D869)=0,"TEAM NOT FOUND","OK")))))</x:f>
      </x:c>
    </x:row>
    <x:row r="870">
      <x:c r="E870" s="102"/>
      <x:c r="G870" s="100" t="str">
        <x:f>IF(COUNTA(A870:F870)=0,"",IF(OR(A870="",B870="",C870="",D870=""),"COMPLETE ROW",IF(COUNTIF(Clients!$A$5:$A$404,C870)=0,"CLIENT NOT FOUND",IF(COUNTIFS(Clients!$A$5:$A$404,C870,Clients!$B$5:$B$404,"Active")=0,"CLIENT NOT ACTIVE",IF(COUNTIF(Teams!$A$5:$A$104,D870)=0,"TEAM NOT FOUND","OK")))))</x:f>
      </x:c>
    </x:row>
    <x:row r="871">
      <x:c r="E871" s="102"/>
      <x:c r="G871" s="100" t="str">
        <x:f>IF(COUNTA(A871:F871)=0,"",IF(OR(A871="",B871="",C871="",D871=""),"COMPLETE ROW",IF(COUNTIF(Clients!$A$5:$A$404,C871)=0,"CLIENT NOT FOUND",IF(COUNTIFS(Clients!$A$5:$A$404,C871,Clients!$B$5:$B$404,"Active")=0,"CLIENT NOT ACTIVE",IF(COUNTIF(Teams!$A$5:$A$104,D871)=0,"TEAM NOT FOUND","OK")))))</x:f>
      </x:c>
    </x:row>
    <x:row r="872">
      <x:c r="E872" s="102"/>
      <x:c r="G872" s="100" t="str">
        <x:f>IF(COUNTA(A872:F872)=0,"",IF(OR(A872="",B872="",C872="",D872=""),"COMPLETE ROW",IF(COUNTIF(Clients!$A$5:$A$404,C872)=0,"CLIENT NOT FOUND",IF(COUNTIFS(Clients!$A$5:$A$404,C872,Clients!$B$5:$B$404,"Active")=0,"CLIENT NOT ACTIVE",IF(COUNTIF(Teams!$A$5:$A$104,D872)=0,"TEAM NOT FOUND","OK")))))</x:f>
      </x:c>
    </x:row>
    <x:row r="873">
      <x:c r="E873" s="102"/>
      <x:c r="G873" s="100" t="str">
        <x:f>IF(COUNTA(A873:F873)=0,"",IF(OR(A873="",B873="",C873="",D873=""),"COMPLETE ROW",IF(COUNTIF(Clients!$A$5:$A$404,C873)=0,"CLIENT NOT FOUND",IF(COUNTIFS(Clients!$A$5:$A$404,C873,Clients!$B$5:$B$404,"Active")=0,"CLIENT NOT ACTIVE",IF(COUNTIF(Teams!$A$5:$A$104,D873)=0,"TEAM NOT FOUND","OK")))))</x:f>
      </x:c>
    </x:row>
    <x:row r="874">
      <x:c r="E874" s="102"/>
      <x:c r="G874" s="100" t="str">
        <x:f>IF(COUNTA(A874:F874)=0,"",IF(OR(A874="",B874="",C874="",D874=""),"COMPLETE ROW",IF(COUNTIF(Clients!$A$5:$A$404,C874)=0,"CLIENT NOT FOUND",IF(COUNTIFS(Clients!$A$5:$A$404,C874,Clients!$B$5:$B$404,"Active")=0,"CLIENT NOT ACTIVE",IF(COUNTIF(Teams!$A$5:$A$104,D874)=0,"TEAM NOT FOUND","OK")))))</x:f>
      </x:c>
    </x:row>
    <x:row r="875">
      <x:c r="E875" s="102"/>
      <x:c r="G875" s="100" t="str">
        <x:f>IF(COUNTA(A875:F875)=0,"",IF(OR(A875="",B875="",C875="",D875=""),"COMPLETE ROW",IF(COUNTIF(Clients!$A$5:$A$404,C875)=0,"CLIENT NOT FOUND",IF(COUNTIFS(Clients!$A$5:$A$404,C875,Clients!$B$5:$B$404,"Active")=0,"CLIENT NOT ACTIVE",IF(COUNTIF(Teams!$A$5:$A$104,D875)=0,"TEAM NOT FOUND","OK")))))</x:f>
      </x:c>
    </x:row>
    <x:row r="876">
      <x:c r="E876" s="102"/>
      <x:c r="G876" s="100" t="str">
        <x:f>IF(COUNTA(A876:F876)=0,"",IF(OR(A876="",B876="",C876="",D876=""),"COMPLETE ROW",IF(COUNTIF(Clients!$A$5:$A$404,C876)=0,"CLIENT NOT FOUND",IF(COUNTIFS(Clients!$A$5:$A$404,C876,Clients!$B$5:$B$404,"Active")=0,"CLIENT NOT ACTIVE",IF(COUNTIF(Teams!$A$5:$A$104,D876)=0,"TEAM NOT FOUND","OK")))))</x:f>
      </x:c>
    </x:row>
    <x:row r="877">
      <x:c r="E877" s="102"/>
      <x:c r="G877" s="100" t="str">
        <x:f>IF(COUNTA(A877:F877)=0,"",IF(OR(A877="",B877="",C877="",D877=""),"COMPLETE ROW",IF(COUNTIF(Clients!$A$5:$A$404,C877)=0,"CLIENT NOT FOUND",IF(COUNTIFS(Clients!$A$5:$A$404,C877,Clients!$B$5:$B$404,"Active")=0,"CLIENT NOT ACTIVE",IF(COUNTIF(Teams!$A$5:$A$104,D877)=0,"TEAM NOT FOUND","OK")))))</x:f>
      </x:c>
    </x:row>
    <x:row r="878">
      <x:c r="E878" s="102"/>
      <x:c r="G878" s="100" t="str">
        <x:f>IF(COUNTA(A878:F878)=0,"",IF(OR(A878="",B878="",C878="",D878=""),"COMPLETE ROW",IF(COUNTIF(Clients!$A$5:$A$404,C878)=0,"CLIENT NOT FOUND",IF(COUNTIFS(Clients!$A$5:$A$404,C878,Clients!$B$5:$B$404,"Active")=0,"CLIENT NOT ACTIVE",IF(COUNTIF(Teams!$A$5:$A$104,D878)=0,"TEAM NOT FOUND","OK")))))</x:f>
      </x:c>
    </x:row>
    <x:row r="879">
      <x:c r="E879" s="102"/>
      <x:c r="G879" s="100" t="str">
        <x:f>IF(COUNTA(A879:F879)=0,"",IF(OR(A879="",B879="",C879="",D879=""),"COMPLETE ROW",IF(COUNTIF(Clients!$A$5:$A$404,C879)=0,"CLIENT NOT FOUND",IF(COUNTIFS(Clients!$A$5:$A$404,C879,Clients!$B$5:$B$404,"Active")=0,"CLIENT NOT ACTIVE",IF(COUNTIF(Teams!$A$5:$A$104,D879)=0,"TEAM NOT FOUND","OK")))))</x:f>
      </x:c>
    </x:row>
    <x:row r="880">
      <x:c r="E880" s="102"/>
      <x:c r="G880" s="100" t="str">
        <x:f>IF(COUNTA(A880:F880)=0,"",IF(OR(A880="",B880="",C880="",D880=""),"COMPLETE ROW",IF(COUNTIF(Clients!$A$5:$A$404,C880)=0,"CLIENT NOT FOUND",IF(COUNTIFS(Clients!$A$5:$A$404,C880,Clients!$B$5:$B$404,"Active")=0,"CLIENT NOT ACTIVE",IF(COUNTIF(Teams!$A$5:$A$104,D880)=0,"TEAM NOT FOUND","OK")))))</x:f>
      </x:c>
    </x:row>
    <x:row r="881">
      <x:c r="E881" s="102"/>
      <x:c r="G881" s="100" t="str">
        <x:f>IF(COUNTA(A881:F881)=0,"",IF(OR(A881="",B881="",C881="",D881=""),"COMPLETE ROW",IF(COUNTIF(Clients!$A$5:$A$404,C881)=0,"CLIENT NOT FOUND",IF(COUNTIFS(Clients!$A$5:$A$404,C881,Clients!$B$5:$B$404,"Active")=0,"CLIENT NOT ACTIVE",IF(COUNTIF(Teams!$A$5:$A$104,D881)=0,"TEAM NOT FOUND","OK")))))</x:f>
      </x:c>
    </x:row>
    <x:row r="882">
      <x:c r="E882" s="102"/>
      <x:c r="G882" s="100" t="str">
        <x:f>IF(COUNTA(A882:F882)=0,"",IF(OR(A882="",B882="",C882="",D882=""),"COMPLETE ROW",IF(COUNTIF(Clients!$A$5:$A$404,C882)=0,"CLIENT NOT FOUND",IF(COUNTIFS(Clients!$A$5:$A$404,C882,Clients!$B$5:$B$404,"Active")=0,"CLIENT NOT ACTIVE",IF(COUNTIF(Teams!$A$5:$A$104,D882)=0,"TEAM NOT FOUND","OK")))))</x:f>
      </x:c>
    </x:row>
    <x:row r="883">
      <x:c r="E883" s="102"/>
      <x:c r="G883" s="100" t="str">
        <x:f>IF(COUNTA(A883:F883)=0,"",IF(OR(A883="",B883="",C883="",D883=""),"COMPLETE ROW",IF(COUNTIF(Clients!$A$5:$A$404,C883)=0,"CLIENT NOT FOUND",IF(COUNTIFS(Clients!$A$5:$A$404,C883,Clients!$B$5:$B$404,"Active")=0,"CLIENT NOT ACTIVE",IF(COUNTIF(Teams!$A$5:$A$104,D883)=0,"TEAM NOT FOUND","OK")))))</x:f>
      </x:c>
    </x:row>
    <x:row r="884">
      <x:c r="E884" s="102"/>
      <x:c r="G884" s="100" t="str">
        <x:f>IF(COUNTA(A884:F884)=0,"",IF(OR(A884="",B884="",C884="",D884=""),"COMPLETE ROW",IF(COUNTIF(Clients!$A$5:$A$404,C884)=0,"CLIENT NOT FOUND",IF(COUNTIFS(Clients!$A$5:$A$404,C884,Clients!$B$5:$B$404,"Active")=0,"CLIENT NOT ACTIVE",IF(COUNTIF(Teams!$A$5:$A$104,D884)=0,"TEAM NOT FOUND","OK")))))</x:f>
      </x:c>
    </x:row>
    <x:row r="885">
      <x:c r="E885" s="102"/>
      <x:c r="G885" s="100" t="str">
        <x:f>IF(COUNTA(A885:F885)=0,"",IF(OR(A885="",B885="",C885="",D885=""),"COMPLETE ROW",IF(COUNTIF(Clients!$A$5:$A$404,C885)=0,"CLIENT NOT FOUND",IF(COUNTIFS(Clients!$A$5:$A$404,C885,Clients!$B$5:$B$404,"Active")=0,"CLIENT NOT ACTIVE",IF(COUNTIF(Teams!$A$5:$A$104,D885)=0,"TEAM NOT FOUND","OK")))))</x:f>
      </x:c>
    </x:row>
    <x:row r="886">
      <x:c r="E886" s="102"/>
      <x:c r="G886" s="100" t="str">
        <x:f>IF(COUNTA(A886:F886)=0,"",IF(OR(A886="",B886="",C886="",D886=""),"COMPLETE ROW",IF(COUNTIF(Clients!$A$5:$A$404,C886)=0,"CLIENT NOT FOUND",IF(COUNTIFS(Clients!$A$5:$A$404,C886,Clients!$B$5:$B$404,"Active")=0,"CLIENT NOT ACTIVE",IF(COUNTIF(Teams!$A$5:$A$104,D886)=0,"TEAM NOT FOUND","OK")))))</x:f>
      </x:c>
    </x:row>
    <x:row r="887">
      <x:c r="E887" s="102"/>
      <x:c r="G887" s="100" t="str">
        <x:f>IF(COUNTA(A887:F887)=0,"",IF(OR(A887="",B887="",C887="",D887=""),"COMPLETE ROW",IF(COUNTIF(Clients!$A$5:$A$404,C887)=0,"CLIENT NOT FOUND",IF(COUNTIFS(Clients!$A$5:$A$404,C887,Clients!$B$5:$B$404,"Active")=0,"CLIENT NOT ACTIVE",IF(COUNTIF(Teams!$A$5:$A$104,D887)=0,"TEAM NOT FOUND","OK")))))</x:f>
      </x:c>
    </x:row>
    <x:row r="888">
      <x:c r="E888" s="102"/>
      <x:c r="G888" s="100" t="str">
        <x:f>IF(COUNTA(A888:F888)=0,"",IF(OR(A888="",B888="",C888="",D888=""),"COMPLETE ROW",IF(COUNTIF(Clients!$A$5:$A$404,C888)=0,"CLIENT NOT FOUND",IF(COUNTIFS(Clients!$A$5:$A$404,C888,Clients!$B$5:$B$404,"Active")=0,"CLIENT NOT ACTIVE",IF(COUNTIF(Teams!$A$5:$A$104,D888)=0,"TEAM NOT FOUND","OK")))))</x:f>
      </x:c>
    </x:row>
    <x:row r="889">
      <x:c r="E889" s="102"/>
      <x:c r="G889" s="100" t="str">
        <x:f>IF(COUNTA(A889:F889)=0,"",IF(OR(A889="",B889="",C889="",D889=""),"COMPLETE ROW",IF(COUNTIF(Clients!$A$5:$A$404,C889)=0,"CLIENT NOT FOUND",IF(COUNTIFS(Clients!$A$5:$A$404,C889,Clients!$B$5:$B$404,"Active")=0,"CLIENT NOT ACTIVE",IF(COUNTIF(Teams!$A$5:$A$104,D889)=0,"TEAM NOT FOUND","OK")))))</x:f>
      </x:c>
    </x:row>
    <x:row r="890">
      <x:c r="E890" s="102"/>
      <x:c r="G890" s="100" t="str">
        <x:f>IF(COUNTA(A890:F890)=0,"",IF(OR(A890="",B890="",C890="",D890=""),"COMPLETE ROW",IF(COUNTIF(Clients!$A$5:$A$404,C890)=0,"CLIENT NOT FOUND",IF(COUNTIFS(Clients!$A$5:$A$404,C890,Clients!$B$5:$B$404,"Active")=0,"CLIENT NOT ACTIVE",IF(COUNTIF(Teams!$A$5:$A$104,D890)=0,"TEAM NOT FOUND","OK")))))</x:f>
      </x:c>
    </x:row>
    <x:row r="891">
      <x:c r="E891" s="102"/>
      <x:c r="G891" s="100" t="str">
        <x:f>IF(COUNTA(A891:F891)=0,"",IF(OR(A891="",B891="",C891="",D891=""),"COMPLETE ROW",IF(COUNTIF(Clients!$A$5:$A$404,C891)=0,"CLIENT NOT FOUND",IF(COUNTIFS(Clients!$A$5:$A$404,C891,Clients!$B$5:$B$404,"Active")=0,"CLIENT NOT ACTIVE",IF(COUNTIF(Teams!$A$5:$A$104,D891)=0,"TEAM NOT FOUND","OK")))))</x:f>
      </x:c>
    </x:row>
    <x:row r="892">
      <x:c r="E892" s="102"/>
      <x:c r="G892" s="100" t="str">
        <x:f>IF(COUNTA(A892:F892)=0,"",IF(OR(A892="",B892="",C892="",D892=""),"COMPLETE ROW",IF(COUNTIF(Clients!$A$5:$A$404,C892)=0,"CLIENT NOT FOUND",IF(COUNTIFS(Clients!$A$5:$A$404,C892,Clients!$B$5:$B$404,"Active")=0,"CLIENT NOT ACTIVE",IF(COUNTIF(Teams!$A$5:$A$104,D892)=0,"TEAM NOT FOUND","OK")))))</x:f>
      </x:c>
    </x:row>
    <x:row r="893">
      <x:c r="E893" s="102"/>
      <x:c r="G893" s="100" t="str">
        <x:f>IF(COUNTA(A893:F893)=0,"",IF(OR(A893="",B893="",C893="",D893=""),"COMPLETE ROW",IF(COUNTIF(Clients!$A$5:$A$404,C893)=0,"CLIENT NOT FOUND",IF(COUNTIFS(Clients!$A$5:$A$404,C893,Clients!$B$5:$B$404,"Active")=0,"CLIENT NOT ACTIVE",IF(COUNTIF(Teams!$A$5:$A$104,D893)=0,"TEAM NOT FOUND","OK")))))</x:f>
      </x:c>
    </x:row>
    <x:row r="894">
      <x:c r="E894" s="102"/>
      <x:c r="G894" s="100" t="str">
        <x:f>IF(COUNTA(A894:F894)=0,"",IF(OR(A894="",B894="",C894="",D894=""),"COMPLETE ROW",IF(COUNTIF(Clients!$A$5:$A$404,C894)=0,"CLIENT NOT FOUND",IF(COUNTIFS(Clients!$A$5:$A$404,C894,Clients!$B$5:$B$404,"Active")=0,"CLIENT NOT ACTIVE",IF(COUNTIF(Teams!$A$5:$A$104,D894)=0,"TEAM NOT FOUND","OK")))))</x:f>
      </x:c>
    </x:row>
    <x:row r="895">
      <x:c r="E895" s="102"/>
      <x:c r="G895" s="100" t="str">
        <x:f>IF(COUNTA(A895:F895)=0,"",IF(OR(A895="",B895="",C895="",D895=""),"COMPLETE ROW",IF(COUNTIF(Clients!$A$5:$A$404,C895)=0,"CLIENT NOT FOUND",IF(COUNTIFS(Clients!$A$5:$A$404,C895,Clients!$B$5:$B$404,"Active")=0,"CLIENT NOT ACTIVE",IF(COUNTIF(Teams!$A$5:$A$104,D895)=0,"TEAM NOT FOUND","OK")))))</x:f>
      </x:c>
    </x:row>
    <x:row r="896">
      <x:c r="E896" s="102"/>
      <x:c r="G896" s="100" t="str">
        <x:f>IF(COUNTA(A896:F896)=0,"",IF(OR(A896="",B896="",C896="",D896=""),"COMPLETE ROW",IF(COUNTIF(Clients!$A$5:$A$404,C896)=0,"CLIENT NOT FOUND",IF(COUNTIFS(Clients!$A$5:$A$404,C896,Clients!$B$5:$B$404,"Active")=0,"CLIENT NOT ACTIVE",IF(COUNTIF(Teams!$A$5:$A$104,D896)=0,"TEAM NOT FOUND","OK")))))</x:f>
      </x:c>
    </x:row>
    <x:row r="897">
      <x:c r="E897" s="102"/>
      <x:c r="G897" s="100" t="str">
        <x:f>IF(COUNTA(A897:F897)=0,"",IF(OR(A897="",B897="",C897="",D897=""),"COMPLETE ROW",IF(COUNTIF(Clients!$A$5:$A$404,C897)=0,"CLIENT NOT FOUND",IF(COUNTIFS(Clients!$A$5:$A$404,C897,Clients!$B$5:$B$404,"Active")=0,"CLIENT NOT ACTIVE",IF(COUNTIF(Teams!$A$5:$A$104,D897)=0,"TEAM NOT FOUND","OK")))))</x:f>
      </x:c>
    </x:row>
    <x:row r="898">
      <x:c r="E898" s="102"/>
      <x:c r="G898" s="100" t="str">
        <x:f>IF(COUNTA(A898:F898)=0,"",IF(OR(A898="",B898="",C898="",D898=""),"COMPLETE ROW",IF(COUNTIF(Clients!$A$5:$A$404,C898)=0,"CLIENT NOT FOUND",IF(COUNTIFS(Clients!$A$5:$A$404,C898,Clients!$B$5:$B$404,"Active")=0,"CLIENT NOT ACTIVE",IF(COUNTIF(Teams!$A$5:$A$104,D898)=0,"TEAM NOT FOUND","OK")))))</x:f>
      </x:c>
    </x:row>
    <x:row r="899">
      <x:c r="E899" s="102"/>
      <x:c r="G899" s="100" t="str">
        <x:f>IF(COUNTA(A899:F899)=0,"",IF(OR(A899="",B899="",C899="",D899=""),"COMPLETE ROW",IF(COUNTIF(Clients!$A$5:$A$404,C899)=0,"CLIENT NOT FOUND",IF(COUNTIFS(Clients!$A$5:$A$404,C899,Clients!$B$5:$B$404,"Active")=0,"CLIENT NOT ACTIVE",IF(COUNTIF(Teams!$A$5:$A$104,D899)=0,"TEAM NOT FOUND","OK")))))</x:f>
      </x:c>
    </x:row>
    <x:row r="900">
      <x:c r="E900" s="102"/>
      <x:c r="G900" s="100" t="str">
        <x:f>IF(COUNTA(A900:F900)=0,"",IF(OR(A900="",B900="",C900="",D900=""),"COMPLETE ROW",IF(COUNTIF(Clients!$A$5:$A$404,C900)=0,"CLIENT NOT FOUND",IF(COUNTIFS(Clients!$A$5:$A$404,C900,Clients!$B$5:$B$404,"Active")=0,"CLIENT NOT ACTIVE",IF(COUNTIF(Teams!$A$5:$A$104,D900)=0,"TEAM NOT FOUND","OK")))))</x:f>
      </x:c>
    </x:row>
    <x:row r="901">
      <x:c r="E901" s="102"/>
      <x:c r="G901" s="100" t="str">
        <x:f>IF(COUNTA(A901:F901)=0,"",IF(OR(A901="",B901="",C901="",D901=""),"COMPLETE ROW",IF(COUNTIF(Clients!$A$5:$A$404,C901)=0,"CLIENT NOT FOUND",IF(COUNTIFS(Clients!$A$5:$A$404,C901,Clients!$B$5:$B$404,"Active")=0,"CLIENT NOT ACTIVE",IF(COUNTIF(Teams!$A$5:$A$104,D901)=0,"TEAM NOT FOUND","OK")))))</x:f>
      </x:c>
    </x:row>
    <x:row r="902">
      <x:c r="E902" s="102"/>
      <x:c r="G902" s="100" t="str">
        <x:f>IF(COUNTA(A902:F902)=0,"",IF(OR(A902="",B902="",C902="",D902=""),"COMPLETE ROW",IF(COUNTIF(Clients!$A$5:$A$404,C902)=0,"CLIENT NOT FOUND",IF(COUNTIFS(Clients!$A$5:$A$404,C902,Clients!$B$5:$B$404,"Active")=0,"CLIENT NOT ACTIVE",IF(COUNTIF(Teams!$A$5:$A$104,D902)=0,"TEAM NOT FOUND","OK")))))</x:f>
      </x:c>
    </x:row>
    <x:row r="903">
      <x:c r="E903" s="102"/>
      <x:c r="G903" s="100" t="str">
        <x:f>IF(COUNTA(A903:F903)=0,"",IF(OR(A903="",B903="",C903="",D903=""),"COMPLETE ROW",IF(COUNTIF(Clients!$A$5:$A$404,C903)=0,"CLIENT NOT FOUND",IF(COUNTIFS(Clients!$A$5:$A$404,C903,Clients!$B$5:$B$404,"Active")=0,"CLIENT NOT ACTIVE",IF(COUNTIF(Teams!$A$5:$A$104,D903)=0,"TEAM NOT FOUND","OK")))))</x:f>
      </x:c>
    </x:row>
    <x:row r="904">
      <x:c r="E904" s="102"/>
      <x:c r="G904" s="100" t="str">
        <x:f>IF(COUNTA(A904:F904)=0,"",IF(OR(A904="",B904="",C904="",D904=""),"COMPLETE ROW",IF(COUNTIF(Clients!$A$5:$A$404,C904)=0,"CLIENT NOT FOUND",IF(COUNTIFS(Clients!$A$5:$A$404,C904,Clients!$B$5:$B$404,"Active")=0,"CLIENT NOT ACTIVE",IF(COUNTIF(Teams!$A$5:$A$104,D904)=0,"TEAM NOT FOUND","OK")))))</x:f>
      </x:c>
    </x:row>
    <x:row r="905">
      <x:c r="E905" s="102"/>
      <x:c r="G905" s="100" t="str">
        <x:f>IF(COUNTA(A905:F905)=0,"",IF(OR(A905="",B905="",C905="",D905=""),"COMPLETE ROW",IF(COUNTIF(Clients!$A$5:$A$404,C905)=0,"CLIENT NOT FOUND",IF(COUNTIFS(Clients!$A$5:$A$404,C905,Clients!$B$5:$B$404,"Active")=0,"CLIENT NOT ACTIVE",IF(COUNTIF(Teams!$A$5:$A$104,D905)=0,"TEAM NOT FOUND","OK")))))</x:f>
      </x:c>
    </x:row>
    <x:row r="906">
      <x:c r="E906" s="102"/>
      <x:c r="G906" s="100" t="str">
        <x:f>IF(COUNTA(A906:F906)=0,"",IF(OR(A906="",B906="",C906="",D906=""),"COMPLETE ROW",IF(COUNTIF(Clients!$A$5:$A$404,C906)=0,"CLIENT NOT FOUND",IF(COUNTIFS(Clients!$A$5:$A$404,C906,Clients!$B$5:$B$404,"Active")=0,"CLIENT NOT ACTIVE",IF(COUNTIF(Teams!$A$5:$A$104,D906)=0,"TEAM NOT FOUND","OK")))))</x:f>
      </x:c>
    </x:row>
    <x:row r="907">
      <x:c r="E907" s="102"/>
      <x:c r="G907" s="100" t="str">
        <x:f>IF(COUNTA(A907:F907)=0,"",IF(OR(A907="",B907="",C907="",D907=""),"COMPLETE ROW",IF(COUNTIF(Clients!$A$5:$A$404,C907)=0,"CLIENT NOT FOUND",IF(COUNTIFS(Clients!$A$5:$A$404,C907,Clients!$B$5:$B$404,"Active")=0,"CLIENT NOT ACTIVE",IF(COUNTIF(Teams!$A$5:$A$104,D907)=0,"TEAM NOT FOUND","OK")))))</x:f>
      </x:c>
    </x:row>
    <x:row r="908">
      <x:c r="E908" s="102"/>
      <x:c r="G908" s="100" t="str">
        <x:f>IF(COUNTA(A908:F908)=0,"",IF(OR(A908="",B908="",C908="",D908=""),"COMPLETE ROW",IF(COUNTIF(Clients!$A$5:$A$404,C908)=0,"CLIENT NOT FOUND",IF(COUNTIFS(Clients!$A$5:$A$404,C908,Clients!$B$5:$B$404,"Active")=0,"CLIENT NOT ACTIVE",IF(COUNTIF(Teams!$A$5:$A$104,D908)=0,"TEAM NOT FOUND","OK")))))</x:f>
      </x:c>
    </x:row>
    <x:row r="909">
      <x:c r="E909" s="102"/>
      <x:c r="G909" s="100" t="str">
        <x:f>IF(COUNTA(A909:F909)=0,"",IF(OR(A909="",B909="",C909="",D909=""),"COMPLETE ROW",IF(COUNTIF(Clients!$A$5:$A$404,C909)=0,"CLIENT NOT FOUND",IF(COUNTIFS(Clients!$A$5:$A$404,C909,Clients!$B$5:$B$404,"Active")=0,"CLIENT NOT ACTIVE",IF(COUNTIF(Teams!$A$5:$A$104,D909)=0,"TEAM NOT FOUND","OK")))))</x:f>
      </x:c>
    </x:row>
    <x:row r="910">
      <x:c r="E910" s="102"/>
      <x:c r="G910" s="100" t="str">
        <x:f>IF(COUNTA(A910:F910)=0,"",IF(OR(A910="",B910="",C910="",D910=""),"COMPLETE ROW",IF(COUNTIF(Clients!$A$5:$A$404,C910)=0,"CLIENT NOT FOUND",IF(COUNTIFS(Clients!$A$5:$A$404,C910,Clients!$B$5:$B$404,"Active")=0,"CLIENT NOT ACTIVE",IF(COUNTIF(Teams!$A$5:$A$104,D910)=0,"TEAM NOT FOUND","OK")))))</x:f>
      </x:c>
    </x:row>
    <x:row r="911">
      <x:c r="E911" s="102"/>
      <x:c r="G911" s="100" t="str">
        <x:f>IF(COUNTA(A911:F911)=0,"",IF(OR(A911="",B911="",C911="",D911=""),"COMPLETE ROW",IF(COUNTIF(Clients!$A$5:$A$404,C911)=0,"CLIENT NOT FOUND",IF(COUNTIFS(Clients!$A$5:$A$404,C911,Clients!$B$5:$B$404,"Active")=0,"CLIENT NOT ACTIVE",IF(COUNTIF(Teams!$A$5:$A$104,D911)=0,"TEAM NOT FOUND","OK")))))</x:f>
      </x:c>
    </x:row>
    <x:row r="912">
      <x:c r="E912" s="102"/>
      <x:c r="G912" s="100" t="str">
        <x:f>IF(COUNTA(A912:F912)=0,"",IF(OR(A912="",B912="",C912="",D912=""),"COMPLETE ROW",IF(COUNTIF(Clients!$A$5:$A$404,C912)=0,"CLIENT NOT FOUND",IF(COUNTIFS(Clients!$A$5:$A$404,C912,Clients!$B$5:$B$404,"Active")=0,"CLIENT NOT ACTIVE",IF(COUNTIF(Teams!$A$5:$A$104,D912)=0,"TEAM NOT FOUND","OK")))))</x:f>
      </x:c>
    </x:row>
    <x:row r="913">
      <x:c r="E913" s="102"/>
      <x:c r="G913" s="100" t="str">
        <x:f>IF(COUNTA(A913:F913)=0,"",IF(OR(A913="",B913="",C913="",D913=""),"COMPLETE ROW",IF(COUNTIF(Clients!$A$5:$A$404,C913)=0,"CLIENT NOT FOUND",IF(COUNTIFS(Clients!$A$5:$A$404,C913,Clients!$B$5:$B$404,"Active")=0,"CLIENT NOT ACTIVE",IF(COUNTIF(Teams!$A$5:$A$104,D913)=0,"TEAM NOT FOUND","OK")))))</x:f>
      </x:c>
    </x:row>
    <x:row r="914">
      <x:c r="E914" s="102"/>
      <x:c r="G914" s="100" t="str">
        <x:f>IF(COUNTA(A914:F914)=0,"",IF(OR(A914="",B914="",C914="",D914=""),"COMPLETE ROW",IF(COUNTIF(Clients!$A$5:$A$404,C914)=0,"CLIENT NOT FOUND",IF(COUNTIFS(Clients!$A$5:$A$404,C914,Clients!$B$5:$B$404,"Active")=0,"CLIENT NOT ACTIVE",IF(COUNTIF(Teams!$A$5:$A$104,D914)=0,"TEAM NOT FOUND","OK")))))</x:f>
      </x:c>
    </x:row>
    <x:row r="915">
      <x:c r="E915" s="102"/>
      <x:c r="G915" s="100" t="str">
        <x:f>IF(COUNTA(A915:F915)=0,"",IF(OR(A915="",B915="",C915="",D915=""),"COMPLETE ROW",IF(COUNTIF(Clients!$A$5:$A$404,C915)=0,"CLIENT NOT FOUND",IF(COUNTIFS(Clients!$A$5:$A$404,C915,Clients!$B$5:$B$404,"Active")=0,"CLIENT NOT ACTIVE",IF(COUNTIF(Teams!$A$5:$A$104,D915)=0,"TEAM NOT FOUND","OK")))))</x:f>
      </x:c>
    </x:row>
    <x:row r="916">
      <x:c r="E916" s="102"/>
      <x:c r="G916" s="100" t="str">
        <x:f>IF(COUNTA(A916:F916)=0,"",IF(OR(A916="",B916="",C916="",D916=""),"COMPLETE ROW",IF(COUNTIF(Clients!$A$5:$A$404,C916)=0,"CLIENT NOT FOUND",IF(COUNTIFS(Clients!$A$5:$A$404,C916,Clients!$B$5:$B$404,"Active")=0,"CLIENT NOT ACTIVE",IF(COUNTIF(Teams!$A$5:$A$104,D916)=0,"TEAM NOT FOUND","OK")))))</x:f>
      </x:c>
    </x:row>
    <x:row r="917">
      <x:c r="E917" s="102"/>
      <x:c r="G917" s="100" t="str">
        <x:f>IF(COUNTA(A917:F917)=0,"",IF(OR(A917="",B917="",C917="",D917=""),"COMPLETE ROW",IF(COUNTIF(Clients!$A$5:$A$404,C917)=0,"CLIENT NOT FOUND",IF(COUNTIFS(Clients!$A$5:$A$404,C917,Clients!$B$5:$B$404,"Active")=0,"CLIENT NOT ACTIVE",IF(COUNTIF(Teams!$A$5:$A$104,D917)=0,"TEAM NOT FOUND","OK")))))</x:f>
      </x:c>
    </x:row>
    <x:row r="918">
      <x:c r="E918" s="102"/>
      <x:c r="G918" s="100" t="str">
        <x:f>IF(COUNTA(A918:F918)=0,"",IF(OR(A918="",B918="",C918="",D918=""),"COMPLETE ROW",IF(COUNTIF(Clients!$A$5:$A$404,C918)=0,"CLIENT NOT FOUND",IF(COUNTIFS(Clients!$A$5:$A$404,C918,Clients!$B$5:$B$404,"Active")=0,"CLIENT NOT ACTIVE",IF(COUNTIF(Teams!$A$5:$A$104,D918)=0,"TEAM NOT FOUND","OK")))))</x:f>
      </x:c>
    </x:row>
    <x:row r="919">
      <x:c r="E919" s="102"/>
      <x:c r="G919" s="100" t="str">
        <x:f>IF(COUNTA(A919:F919)=0,"",IF(OR(A919="",B919="",C919="",D919=""),"COMPLETE ROW",IF(COUNTIF(Clients!$A$5:$A$404,C919)=0,"CLIENT NOT FOUND",IF(COUNTIFS(Clients!$A$5:$A$404,C919,Clients!$B$5:$B$404,"Active")=0,"CLIENT NOT ACTIVE",IF(COUNTIF(Teams!$A$5:$A$104,D919)=0,"TEAM NOT FOUND","OK")))))</x:f>
      </x:c>
    </x:row>
    <x:row r="920">
      <x:c r="E920" s="102"/>
      <x:c r="G920" s="100" t="str">
        <x:f>IF(COUNTA(A920:F920)=0,"",IF(OR(A920="",B920="",C920="",D920=""),"COMPLETE ROW",IF(COUNTIF(Clients!$A$5:$A$404,C920)=0,"CLIENT NOT FOUND",IF(COUNTIFS(Clients!$A$5:$A$404,C920,Clients!$B$5:$B$404,"Active")=0,"CLIENT NOT ACTIVE",IF(COUNTIF(Teams!$A$5:$A$104,D920)=0,"TEAM NOT FOUND","OK")))))</x:f>
      </x:c>
    </x:row>
    <x:row r="921">
      <x:c r="E921" s="102"/>
      <x:c r="G921" s="100" t="str">
        <x:f>IF(COUNTA(A921:F921)=0,"",IF(OR(A921="",B921="",C921="",D921=""),"COMPLETE ROW",IF(COUNTIF(Clients!$A$5:$A$404,C921)=0,"CLIENT NOT FOUND",IF(COUNTIFS(Clients!$A$5:$A$404,C921,Clients!$B$5:$B$404,"Active")=0,"CLIENT NOT ACTIVE",IF(COUNTIF(Teams!$A$5:$A$104,D921)=0,"TEAM NOT FOUND","OK")))))</x:f>
      </x:c>
    </x:row>
    <x:row r="922">
      <x:c r="E922" s="102"/>
      <x:c r="G922" s="100" t="str">
        <x:f>IF(COUNTA(A922:F922)=0,"",IF(OR(A922="",B922="",C922="",D922=""),"COMPLETE ROW",IF(COUNTIF(Clients!$A$5:$A$404,C922)=0,"CLIENT NOT FOUND",IF(COUNTIFS(Clients!$A$5:$A$404,C922,Clients!$B$5:$B$404,"Active")=0,"CLIENT NOT ACTIVE",IF(COUNTIF(Teams!$A$5:$A$104,D922)=0,"TEAM NOT FOUND","OK")))))</x:f>
      </x:c>
    </x:row>
    <x:row r="923">
      <x:c r="E923" s="102"/>
      <x:c r="G923" s="100" t="str">
        <x:f>IF(COUNTA(A923:F923)=0,"",IF(OR(A923="",B923="",C923="",D923=""),"COMPLETE ROW",IF(COUNTIF(Clients!$A$5:$A$404,C923)=0,"CLIENT NOT FOUND",IF(COUNTIFS(Clients!$A$5:$A$404,C923,Clients!$B$5:$B$404,"Active")=0,"CLIENT NOT ACTIVE",IF(COUNTIF(Teams!$A$5:$A$104,D923)=0,"TEAM NOT FOUND","OK")))))</x:f>
      </x:c>
    </x:row>
    <x:row r="924">
      <x:c r="E924" s="102"/>
      <x:c r="G924" s="100" t="str">
        <x:f>IF(COUNTA(A924:F924)=0,"",IF(OR(A924="",B924="",C924="",D924=""),"COMPLETE ROW",IF(COUNTIF(Clients!$A$5:$A$404,C924)=0,"CLIENT NOT FOUND",IF(COUNTIFS(Clients!$A$5:$A$404,C924,Clients!$B$5:$B$404,"Active")=0,"CLIENT NOT ACTIVE",IF(COUNTIF(Teams!$A$5:$A$104,D924)=0,"TEAM NOT FOUND","OK")))))</x:f>
      </x:c>
    </x:row>
    <x:row r="925">
      <x:c r="E925" s="102"/>
      <x:c r="G925" s="100" t="str">
        <x:f>IF(COUNTA(A925:F925)=0,"",IF(OR(A925="",B925="",C925="",D925=""),"COMPLETE ROW",IF(COUNTIF(Clients!$A$5:$A$404,C925)=0,"CLIENT NOT FOUND",IF(COUNTIFS(Clients!$A$5:$A$404,C925,Clients!$B$5:$B$404,"Active")=0,"CLIENT NOT ACTIVE",IF(COUNTIF(Teams!$A$5:$A$104,D925)=0,"TEAM NOT FOUND","OK")))))</x:f>
      </x:c>
    </x:row>
    <x:row r="926">
      <x:c r="E926" s="102"/>
      <x:c r="G926" s="100" t="str">
        <x:f>IF(COUNTA(A926:F926)=0,"",IF(OR(A926="",B926="",C926="",D926=""),"COMPLETE ROW",IF(COUNTIF(Clients!$A$5:$A$404,C926)=0,"CLIENT NOT FOUND",IF(COUNTIFS(Clients!$A$5:$A$404,C926,Clients!$B$5:$B$404,"Active")=0,"CLIENT NOT ACTIVE",IF(COUNTIF(Teams!$A$5:$A$104,D926)=0,"TEAM NOT FOUND","OK")))))</x:f>
      </x:c>
    </x:row>
    <x:row r="927">
      <x:c r="E927" s="102"/>
      <x:c r="G927" s="100" t="str">
        <x:f>IF(COUNTA(A927:F927)=0,"",IF(OR(A927="",B927="",C927="",D927=""),"COMPLETE ROW",IF(COUNTIF(Clients!$A$5:$A$404,C927)=0,"CLIENT NOT FOUND",IF(COUNTIFS(Clients!$A$5:$A$404,C927,Clients!$B$5:$B$404,"Active")=0,"CLIENT NOT ACTIVE",IF(COUNTIF(Teams!$A$5:$A$104,D927)=0,"TEAM NOT FOUND","OK")))))</x:f>
      </x:c>
    </x:row>
    <x:row r="928">
      <x:c r="E928" s="102"/>
      <x:c r="G928" s="100" t="str">
        <x:f>IF(COUNTA(A928:F928)=0,"",IF(OR(A928="",B928="",C928="",D928=""),"COMPLETE ROW",IF(COUNTIF(Clients!$A$5:$A$404,C928)=0,"CLIENT NOT FOUND",IF(COUNTIFS(Clients!$A$5:$A$404,C928,Clients!$B$5:$B$404,"Active")=0,"CLIENT NOT ACTIVE",IF(COUNTIF(Teams!$A$5:$A$104,D928)=0,"TEAM NOT FOUND","OK")))))</x:f>
      </x:c>
    </x:row>
    <x:row r="929">
      <x:c r="E929" s="102"/>
      <x:c r="G929" s="100" t="str">
        <x:f>IF(COUNTA(A929:F929)=0,"",IF(OR(A929="",B929="",C929="",D929=""),"COMPLETE ROW",IF(COUNTIF(Clients!$A$5:$A$404,C929)=0,"CLIENT NOT FOUND",IF(COUNTIFS(Clients!$A$5:$A$404,C929,Clients!$B$5:$B$404,"Active")=0,"CLIENT NOT ACTIVE",IF(COUNTIF(Teams!$A$5:$A$104,D929)=0,"TEAM NOT FOUND","OK")))))</x:f>
      </x:c>
    </x:row>
    <x:row r="930">
      <x:c r="E930" s="102"/>
      <x:c r="G930" s="100" t="str">
        <x:f>IF(COUNTA(A930:F930)=0,"",IF(OR(A930="",B930="",C930="",D930=""),"COMPLETE ROW",IF(COUNTIF(Clients!$A$5:$A$404,C930)=0,"CLIENT NOT FOUND",IF(COUNTIFS(Clients!$A$5:$A$404,C930,Clients!$B$5:$B$404,"Active")=0,"CLIENT NOT ACTIVE",IF(COUNTIF(Teams!$A$5:$A$104,D930)=0,"TEAM NOT FOUND","OK")))))</x:f>
      </x:c>
    </x:row>
    <x:row r="931">
      <x:c r="E931" s="102"/>
      <x:c r="G931" s="100" t="str">
        <x:f>IF(COUNTA(A931:F931)=0,"",IF(OR(A931="",B931="",C931="",D931=""),"COMPLETE ROW",IF(COUNTIF(Clients!$A$5:$A$404,C931)=0,"CLIENT NOT FOUND",IF(COUNTIFS(Clients!$A$5:$A$404,C931,Clients!$B$5:$B$404,"Active")=0,"CLIENT NOT ACTIVE",IF(COUNTIF(Teams!$A$5:$A$104,D931)=0,"TEAM NOT FOUND","OK")))))</x:f>
      </x:c>
    </x:row>
    <x:row r="932">
      <x:c r="E932" s="102"/>
      <x:c r="G932" s="100" t="str">
        <x:f>IF(COUNTA(A932:F932)=0,"",IF(OR(A932="",B932="",C932="",D932=""),"COMPLETE ROW",IF(COUNTIF(Clients!$A$5:$A$404,C932)=0,"CLIENT NOT FOUND",IF(COUNTIFS(Clients!$A$5:$A$404,C932,Clients!$B$5:$B$404,"Active")=0,"CLIENT NOT ACTIVE",IF(COUNTIF(Teams!$A$5:$A$104,D932)=0,"TEAM NOT FOUND","OK")))))</x:f>
      </x:c>
    </x:row>
    <x:row r="933">
      <x:c r="E933" s="102"/>
      <x:c r="G933" s="100" t="str">
        <x:f>IF(COUNTA(A933:F933)=0,"",IF(OR(A933="",B933="",C933="",D933=""),"COMPLETE ROW",IF(COUNTIF(Clients!$A$5:$A$404,C933)=0,"CLIENT NOT FOUND",IF(COUNTIFS(Clients!$A$5:$A$404,C933,Clients!$B$5:$B$404,"Active")=0,"CLIENT NOT ACTIVE",IF(COUNTIF(Teams!$A$5:$A$104,D933)=0,"TEAM NOT FOUND","OK")))))</x:f>
      </x:c>
    </x:row>
    <x:row r="934">
      <x:c r="E934" s="102"/>
      <x:c r="G934" s="100" t="str">
        <x:f>IF(COUNTA(A934:F934)=0,"",IF(OR(A934="",B934="",C934="",D934=""),"COMPLETE ROW",IF(COUNTIF(Clients!$A$5:$A$404,C934)=0,"CLIENT NOT FOUND",IF(COUNTIFS(Clients!$A$5:$A$404,C934,Clients!$B$5:$B$404,"Active")=0,"CLIENT NOT ACTIVE",IF(COUNTIF(Teams!$A$5:$A$104,D934)=0,"TEAM NOT FOUND","OK")))))</x:f>
      </x:c>
    </x:row>
    <x:row r="935">
      <x:c r="E935" s="102"/>
      <x:c r="G935" s="100" t="str">
        <x:f>IF(COUNTA(A935:F935)=0,"",IF(OR(A935="",B935="",C935="",D935=""),"COMPLETE ROW",IF(COUNTIF(Clients!$A$5:$A$404,C935)=0,"CLIENT NOT FOUND",IF(COUNTIFS(Clients!$A$5:$A$404,C935,Clients!$B$5:$B$404,"Active")=0,"CLIENT NOT ACTIVE",IF(COUNTIF(Teams!$A$5:$A$104,D935)=0,"TEAM NOT FOUND","OK")))))</x:f>
      </x:c>
    </x:row>
    <x:row r="936">
      <x:c r="E936" s="102"/>
      <x:c r="G936" s="100" t="str">
        <x:f>IF(COUNTA(A936:F936)=0,"",IF(OR(A936="",B936="",C936="",D936=""),"COMPLETE ROW",IF(COUNTIF(Clients!$A$5:$A$404,C936)=0,"CLIENT NOT FOUND",IF(COUNTIFS(Clients!$A$5:$A$404,C936,Clients!$B$5:$B$404,"Active")=0,"CLIENT NOT ACTIVE",IF(COUNTIF(Teams!$A$5:$A$104,D936)=0,"TEAM NOT FOUND","OK")))))</x:f>
      </x:c>
    </x:row>
    <x:row r="937">
      <x:c r="E937" s="102"/>
      <x:c r="G937" s="100" t="str">
        <x:f>IF(COUNTA(A937:F937)=0,"",IF(OR(A937="",B937="",C937="",D937=""),"COMPLETE ROW",IF(COUNTIF(Clients!$A$5:$A$404,C937)=0,"CLIENT NOT FOUND",IF(COUNTIFS(Clients!$A$5:$A$404,C937,Clients!$B$5:$B$404,"Active")=0,"CLIENT NOT ACTIVE",IF(COUNTIF(Teams!$A$5:$A$104,D937)=0,"TEAM NOT FOUND","OK")))))</x:f>
      </x:c>
    </x:row>
    <x:row r="938">
      <x:c r="E938" s="102"/>
      <x:c r="G938" s="100" t="str">
        <x:f>IF(COUNTA(A938:F938)=0,"",IF(OR(A938="",B938="",C938="",D938=""),"COMPLETE ROW",IF(COUNTIF(Clients!$A$5:$A$404,C938)=0,"CLIENT NOT FOUND",IF(COUNTIFS(Clients!$A$5:$A$404,C938,Clients!$B$5:$B$404,"Active")=0,"CLIENT NOT ACTIVE",IF(COUNTIF(Teams!$A$5:$A$104,D938)=0,"TEAM NOT FOUND","OK")))))</x:f>
      </x:c>
    </x:row>
    <x:row r="939">
      <x:c r="E939" s="102"/>
      <x:c r="G939" s="100" t="str">
        <x:f>IF(COUNTA(A939:F939)=0,"",IF(OR(A939="",B939="",C939="",D939=""),"COMPLETE ROW",IF(COUNTIF(Clients!$A$5:$A$404,C939)=0,"CLIENT NOT FOUND",IF(COUNTIFS(Clients!$A$5:$A$404,C939,Clients!$B$5:$B$404,"Active")=0,"CLIENT NOT ACTIVE",IF(COUNTIF(Teams!$A$5:$A$104,D939)=0,"TEAM NOT FOUND","OK")))))</x:f>
      </x:c>
    </x:row>
    <x:row r="940">
      <x:c r="E940" s="102"/>
      <x:c r="G940" s="100" t="str">
        <x:f>IF(COUNTA(A940:F940)=0,"",IF(OR(A940="",B940="",C940="",D940=""),"COMPLETE ROW",IF(COUNTIF(Clients!$A$5:$A$404,C940)=0,"CLIENT NOT FOUND",IF(COUNTIFS(Clients!$A$5:$A$404,C940,Clients!$B$5:$B$404,"Active")=0,"CLIENT NOT ACTIVE",IF(COUNTIF(Teams!$A$5:$A$104,D940)=0,"TEAM NOT FOUND","OK")))))</x:f>
      </x:c>
    </x:row>
    <x:row r="941">
      <x:c r="E941" s="102"/>
      <x:c r="G941" s="100" t="str">
        <x:f>IF(COUNTA(A941:F941)=0,"",IF(OR(A941="",B941="",C941="",D941=""),"COMPLETE ROW",IF(COUNTIF(Clients!$A$5:$A$404,C941)=0,"CLIENT NOT FOUND",IF(COUNTIFS(Clients!$A$5:$A$404,C941,Clients!$B$5:$B$404,"Active")=0,"CLIENT NOT ACTIVE",IF(COUNTIF(Teams!$A$5:$A$104,D941)=0,"TEAM NOT FOUND","OK")))))</x:f>
      </x:c>
    </x:row>
    <x:row r="942">
      <x:c r="E942" s="102"/>
      <x:c r="G942" s="100" t="str">
        <x:f>IF(COUNTA(A942:F942)=0,"",IF(OR(A942="",B942="",C942="",D942=""),"COMPLETE ROW",IF(COUNTIF(Clients!$A$5:$A$404,C942)=0,"CLIENT NOT FOUND",IF(COUNTIFS(Clients!$A$5:$A$404,C942,Clients!$B$5:$B$404,"Active")=0,"CLIENT NOT ACTIVE",IF(COUNTIF(Teams!$A$5:$A$104,D942)=0,"TEAM NOT FOUND","OK")))))</x:f>
      </x:c>
    </x:row>
    <x:row r="943">
      <x:c r="E943" s="102"/>
      <x:c r="G943" s="100" t="str">
        <x:f>IF(COUNTA(A943:F943)=0,"",IF(OR(A943="",B943="",C943="",D943=""),"COMPLETE ROW",IF(COUNTIF(Clients!$A$5:$A$404,C943)=0,"CLIENT NOT FOUND",IF(COUNTIFS(Clients!$A$5:$A$404,C943,Clients!$B$5:$B$404,"Active")=0,"CLIENT NOT ACTIVE",IF(COUNTIF(Teams!$A$5:$A$104,D943)=0,"TEAM NOT FOUND","OK")))))</x:f>
      </x:c>
    </x:row>
    <x:row r="944">
      <x:c r="E944" s="102"/>
      <x:c r="G944" s="100" t="str">
        <x:f>IF(COUNTA(A944:F944)=0,"",IF(OR(A944="",B944="",C944="",D944=""),"COMPLETE ROW",IF(COUNTIF(Clients!$A$5:$A$404,C944)=0,"CLIENT NOT FOUND",IF(COUNTIFS(Clients!$A$5:$A$404,C944,Clients!$B$5:$B$404,"Active")=0,"CLIENT NOT ACTIVE",IF(COUNTIF(Teams!$A$5:$A$104,D944)=0,"TEAM NOT FOUND","OK")))))</x:f>
      </x:c>
    </x:row>
    <x:row r="945">
      <x:c r="E945" s="102"/>
      <x:c r="G945" s="100" t="str">
        <x:f>IF(COUNTA(A945:F945)=0,"",IF(OR(A945="",B945="",C945="",D945=""),"COMPLETE ROW",IF(COUNTIF(Clients!$A$5:$A$404,C945)=0,"CLIENT NOT FOUND",IF(COUNTIFS(Clients!$A$5:$A$404,C945,Clients!$B$5:$B$404,"Active")=0,"CLIENT NOT ACTIVE",IF(COUNTIF(Teams!$A$5:$A$104,D945)=0,"TEAM NOT FOUND","OK")))))</x:f>
      </x:c>
    </x:row>
    <x:row r="946">
      <x:c r="E946" s="102"/>
      <x:c r="G946" s="100" t="str">
        <x:f>IF(COUNTA(A946:F946)=0,"",IF(OR(A946="",B946="",C946="",D946=""),"COMPLETE ROW",IF(COUNTIF(Clients!$A$5:$A$404,C946)=0,"CLIENT NOT FOUND",IF(COUNTIFS(Clients!$A$5:$A$404,C946,Clients!$B$5:$B$404,"Active")=0,"CLIENT NOT ACTIVE",IF(COUNTIF(Teams!$A$5:$A$104,D946)=0,"TEAM NOT FOUND","OK")))))</x:f>
      </x:c>
    </x:row>
    <x:row r="947">
      <x:c r="E947" s="102"/>
      <x:c r="G947" s="100" t="str">
        <x:f>IF(COUNTA(A947:F947)=0,"",IF(OR(A947="",B947="",C947="",D947=""),"COMPLETE ROW",IF(COUNTIF(Clients!$A$5:$A$404,C947)=0,"CLIENT NOT FOUND",IF(COUNTIFS(Clients!$A$5:$A$404,C947,Clients!$B$5:$B$404,"Active")=0,"CLIENT NOT ACTIVE",IF(COUNTIF(Teams!$A$5:$A$104,D947)=0,"TEAM NOT FOUND","OK")))))</x:f>
      </x:c>
    </x:row>
    <x:row r="948">
      <x:c r="E948" s="102"/>
      <x:c r="G948" s="100" t="str">
        <x:f>IF(COUNTA(A948:F948)=0,"",IF(OR(A948="",B948="",C948="",D948=""),"COMPLETE ROW",IF(COUNTIF(Clients!$A$5:$A$404,C948)=0,"CLIENT NOT FOUND",IF(COUNTIFS(Clients!$A$5:$A$404,C948,Clients!$B$5:$B$404,"Active")=0,"CLIENT NOT ACTIVE",IF(COUNTIF(Teams!$A$5:$A$104,D948)=0,"TEAM NOT FOUND","OK")))))</x:f>
      </x:c>
    </x:row>
    <x:row r="949">
      <x:c r="E949" s="102"/>
      <x:c r="G949" s="100" t="str">
        <x:f>IF(COUNTA(A949:F949)=0,"",IF(OR(A949="",B949="",C949="",D949=""),"COMPLETE ROW",IF(COUNTIF(Clients!$A$5:$A$404,C949)=0,"CLIENT NOT FOUND",IF(COUNTIFS(Clients!$A$5:$A$404,C949,Clients!$B$5:$B$404,"Active")=0,"CLIENT NOT ACTIVE",IF(COUNTIF(Teams!$A$5:$A$104,D949)=0,"TEAM NOT FOUND","OK")))))</x:f>
      </x:c>
    </x:row>
    <x:row r="950">
      <x:c r="E950" s="102"/>
      <x:c r="G950" s="100" t="str">
        <x:f>IF(COUNTA(A950:F950)=0,"",IF(OR(A950="",B950="",C950="",D950=""),"COMPLETE ROW",IF(COUNTIF(Clients!$A$5:$A$404,C950)=0,"CLIENT NOT FOUND",IF(COUNTIFS(Clients!$A$5:$A$404,C950,Clients!$B$5:$B$404,"Active")=0,"CLIENT NOT ACTIVE",IF(COUNTIF(Teams!$A$5:$A$104,D950)=0,"TEAM NOT FOUND","OK")))))</x:f>
      </x:c>
    </x:row>
    <x:row r="951">
      <x:c r="E951" s="102"/>
      <x:c r="G951" s="100" t="str">
        <x:f>IF(COUNTA(A951:F951)=0,"",IF(OR(A951="",B951="",C951="",D951=""),"COMPLETE ROW",IF(COUNTIF(Clients!$A$5:$A$404,C951)=0,"CLIENT NOT FOUND",IF(COUNTIFS(Clients!$A$5:$A$404,C951,Clients!$B$5:$B$404,"Active")=0,"CLIENT NOT ACTIVE",IF(COUNTIF(Teams!$A$5:$A$104,D951)=0,"TEAM NOT FOUND","OK")))))</x:f>
      </x:c>
    </x:row>
    <x:row r="952">
      <x:c r="E952" s="102"/>
      <x:c r="G952" s="100" t="str">
        <x:f>IF(COUNTA(A952:F952)=0,"",IF(OR(A952="",B952="",C952="",D952=""),"COMPLETE ROW",IF(COUNTIF(Clients!$A$5:$A$404,C952)=0,"CLIENT NOT FOUND",IF(COUNTIFS(Clients!$A$5:$A$404,C952,Clients!$B$5:$B$404,"Active")=0,"CLIENT NOT ACTIVE",IF(COUNTIF(Teams!$A$5:$A$104,D952)=0,"TEAM NOT FOUND","OK")))))</x:f>
      </x:c>
    </x:row>
    <x:row r="953">
      <x:c r="E953" s="102"/>
      <x:c r="G953" s="100" t="str">
        <x:f>IF(COUNTA(A953:F953)=0,"",IF(OR(A953="",B953="",C953="",D953=""),"COMPLETE ROW",IF(COUNTIF(Clients!$A$5:$A$404,C953)=0,"CLIENT NOT FOUND",IF(COUNTIFS(Clients!$A$5:$A$404,C953,Clients!$B$5:$B$404,"Active")=0,"CLIENT NOT ACTIVE",IF(COUNTIF(Teams!$A$5:$A$104,D953)=0,"TEAM NOT FOUND","OK")))))</x:f>
      </x:c>
    </x:row>
    <x:row r="954">
      <x:c r="E954" s="102"/>
      <x:c r="G954" s="100" t="str">
        <x:f>IF(COUNTA(A954:F954)=0,"",IF(OR(A954="",B954="",C954="",D954=""),"COMPLETE ROW",IF(COUNTIF(Clients!$A$5:$A$404,C954)=0,"CLIENT NOT FOUND",IF(COUNTIFS(Clients!$A$5:$A$404,C954,Clients!$B$5:$B$404,"Active")=0,"CLIENT NOT ACTIVE",IF(COUNTIF(Teams!$A$5:$A$104,D954)=0,"TEAM NOT FOUND","OK")))))</x:f>
      </x:c>
    </x:row>
    <x:row r="955">
      <x:c r="E955" s="102"/>
      <x:c r="G955" s="100" t="str">
        <x:f>IF(COUNTA(A955:F955)=0,"",IF(OR(A955="",B955="",C955="",D955=""),"COMPLETE ROW",IF(COUNTIF(Clients!$A$5:$A$404,C955)=0,"CLIENT NOT FOUND",IF(COUNTIFS(Clients!$A$5:$A$404,C955,Clients!$B$5:$B$404,"Active")=0,"CLIENT NOT ACTIVE",IF(COUNTIF(Teams!$A$5:$A$104,D955)=0,"TEAM NOT FOUND","OK")))))</x:f>
      </x:c>
    </x:row>
    <x:row r="956">
      <x:c r="E956" s="102"/>
      <x:c r="G956" s="100" t="str">
        <x:f>IF(COUNTA(A956:F956)=0,"",IF(OR(A956="",B956="",C956="",D956=""),"COMPLETE ROW",IF(COUNTIF(Clients!$A$5:$A$404,C956)=0,"CLIENT NOT FOUND",IF(COUNTIFS(Clients!$A$5:$A$404,C956,Clients!$B$5:$B$404,"Active")=0,"CLIENT NOT ACTIVE",IF(COUNTIF(Teams!$A$5:$A$104,D956)=0,"TEAM NOT FOUND","OK")))))</x:f>
      </x:c>
    </x:row>
    <x:row r="957">
      <x:c r="E957" s="102"/>
      <x:c r="G957" s="100" t="str">
        <x:f>IF(COUNTA(A957:F957)=0,"",IF(OR(A957="",B957="",C957="",D957=""),"COMPLETE ROW",IF(COUNTIF(Clients!$A$5:$A$404,C957)=0,"CLIENT NOT FOUND",IF(COUNTIFS(Clients!$A$5:$A$404,C957,Clients!$B$5:$B$404,"Active")=0,"CLIENT NOT ACTIVE",IF(COUNTIF(Teams!$A$5:$A$104,D957)=0,"TEAM NOT FOUND","OK")))))</x:f>
      </x:c>
    </x:row>
    <x:row r="958">
      <x:c r="E958" s="102"/>
      <x:c r="G958" s="100" t="str">
        <x:f>IF(COUNTA(A958:F958)=0,"",IF(OR(A958="",B958="",C958="",D958=""),"COMPLETE ROW",IF(COUNTIF(Clients!$A$5:$A$404,C958)=0,"CLIENT NOT FOUND",IF(COUNTIFS(Clients!$A$5:$A$404,C958,Clients!$B$5:$B$404,"Active")=0,"CLIENT NOT ACTIVE",IF(COUNTIF(Teams!$A$5:$A$104,D958)=0,"TEAM NOT FOUND","OK")))))</x:f>
      </x:c>
    </x:row>
    <x:row r="959">
      <x:c r="E959" s="102"/>
      <x:c r="G959" s="100" t="str">
        <x:f>IF(COUNTA(A959:F959)=0,"",IF(OR(A959="",B959="",C959="",D959=""),"COMPLETE ROW",IF(COUNTIF(Clients!$A$5:$A$404,C959)=0,"CLIENT NOT FOUND",IF(COUNTIFS(Clients!$A$5:$A$404,C959,Clients!$B$5:$B$404,"Active")=0,"CLIENT NOT ACTIVE",IF(COUNTIF(Teams!$A$5:$A$104,D959)=0,"TEAM NOT FOUND","OK")))))</x:f>
      </x:c>
    </x:row>
    <x:row r="960">
      <x:c r="E960" s="102"/>
      <x:c r="G960" s="100" t="str">
        <x:f>IF(COUNTA(A960:F960)=0,"",IF(OR(A960="",B960="",C960="",D960=""),"COMPLETE ROW",IF(COUNTIF(Clients!$A$5:$A$404,C960)=0,"CLIENT NOT FOUND",IF(COUNTIFS(Clients!$A$5:$A$404,C960,Clients!$B$5:$B$404,"Active")=0,"CLIENT NOT ACTIVE",IF(COUNTIF(Teams!$A$5:$A$104,D960)=0,"TEAM NOT FOUND","OK")))))</x:f>
      </x:c>
    </x:row>
    <x:row r="961">
      <x:c r="E961" s="102"/>
      <x:c r="G961" s="100" t="str">
        <x:f>IF(COUNTA(A961:F961)=0,"",IF(OR(A961="",B961="",C961="",D961=""),"COMPLETE ROW",IF(COUNTIF(Clients!$A$5:$A$404,C961)=0,"CLIENT NOT FOUND",IF(COUNTIFS(Clients!$A$5:$A$404,C961,Clients!$B$5:$B$404,"Active")=0,"CLIENT NOT ACTIVE",IF(COUNTIF(Teams!$A$5:$A$104,D961)=0,"TEAM NOT FOUND","OK")))))</x:f>
      </x:c>
    </x:row>
    <x:row r="962">
      <x:c r="E962" s="102"/>
      <x:c r="G962" s="100" t="str">
        <x:f>IF(COUNTA(A962:F962)=0,"",IF(OR(A962="",B962="",C962="",D962=""),"COMPLETE ROW",IF(COUNTIF(Clients!$A$5:$A$404,C962)=0,"CLIENT NOT FOUND",IF(COUNTIFS(Clients!$A$5:$A$404,C962,Clients!$B$5:$B$404,"Active")=0,"CLIENT NOT ACTIVE",IF(COUNTIF(Teams!$A$5:$A$104,D962)=0,"TEAM NOT FOUND","OK")))))</x:f>
      </x:c>
    </x:row>
    <x:row r="963">
      <x:c r="E963" s="102"/>
      <x:c r="G963" s="100" t="str">
        <x:f>IF(COUNTA(A963:F963)=0,"",IF(OR(A963="",B963="",C963="",D963=""),"COMPLETE ROW",IF(COUNTIF(Clients!$A$5:$A$404,C963)=0,"CLIENT NOT FOUND",IF(COUNTIFS(Clients!$A$5:$A$404,C963,Clients!$B$5:$B$404,"Active")=0,"CLIENT NOT ACTIVE",IF(COUNTIF(Teams!$A$5:$A$104,D963)=0,"TEAM NOT FOUND","OK")))))</x:f>
      </x:c>
    </x:row>
    <x:row r="964">
      <x:c r="E964" s="102"/>
      <x:c r="G964" s="100" t="str">
        <x:f>IF(COUNTA(A964:F964)=0,"",IF(OR(A964="",B964="",C964="",D964=""),"COMPLETE ROW",IF(COUNTIF(Clients!$A$5:$A$404,C964)=0,"CLIENT NOT FOUND",IF(COUNTIFS(Clients!$A$5:$A$404,C964,Clients!$B$5:$B$404,"Active")=0,"CLIENT NOT ACTIVE",IF(COUNTIF(Teams!$A$5:$A$104,D964)=0,"TEAM NOT FOUND","OK")))))</x:f>
      </x:c>
    </x:row>
    <x:row r="965">
      <x:c r="E965" s="102"/>
      <x:c r="G965" s="100" t="str">
        <x:f>IF(COUNTA(A965:F965)=0,"",IF(OR(A965="",B965="",C965="",D965=""),"COMPLETE ROW",IF(COUNTIF(Clients!$A$5:$A$404,C965)=0,"CLIENT NOT FOUND",IF(COUNTIFS(Clients!$A$5:$A$404,C965,Clients!$B$5:$B$404,"Active")=0,"CLIENT NOT ACTIVE",IF(COUNTIF(Teams!$A$5:$A$104,D965)=0,"TEAM NOT FOUND","OK")))))</x:f>
      </x:c>
    </x:row>
    <x:row r="966">
      <x:c r="E966" s="102"/>
      <x:c r="G966" s="100" t="str">
        <x:f>IF(COUNTA(A966:F966)=0,"",IF(OR(A966="",B966="",C966="",D966=""),"COMPLETE ROW",IF(COUNTIF(Clients!$A$5:$A$404,C966)=0,"CLIENT NOT FOUND",IF(COUNTIFS(Clients!$A$5:$A$404,C966,Clients!$B$5:$B$404,"Active")=0,"CLIENT NOT ACTIVE",IF(COUNTIF(Teams!$A$5:$A$104,D966)=0,"TEAM NOT FOUND","OK")))))</x:f>
      </x:c>
    </x:row>
    <x:row r="967">
      <x:c r="E967" s="102"/>
      <x:c r="G967" s="100" t="str">
        <x:f>IF(COUNTA(A967:F967)=0,"",IF(OR(A967="",B967="",C967="",D967=""),"COMPLETE ROW",IF(COUNTIF(Clients!$A$5:$A$404,C967)=0,"CLIENT NOT FOUND",IF(COUNTIFS(Clients!$A$5:$A$404,C967,Clients!$B$5:$B$404,"Active")=0,"CLIENT NOT ACTIVE",IF(COUNTIF(Teams!$A$5:$A$104,D967)=0,"TEAM NOT FOUND","OK")))))</x:f>
      </x:c>
    </x:row>
    <x:row r="968">
      <x:c r="E968" s="102"/>
      <x:c r="G968" s="100" t="str">
        <x:f>IF(COUNTA(A968:F968)=0,"",IF(OR(A968="",B968="",C968="",D968=""),"COMPLETE ROW",IF(COUNTIF(Clients!$A$5:$A$404,C968)=0,"CLIENT NOT FOUND",IF(COUNTIFS(Clients!$A$5:$A$404,C968,Clients!$B$5:$B$404,"Active")=0,"CLIENT NOT ACTIVE",IF(COUNTIF(Teams!$A$5:$A$104,D968)=0,"TEAM NOT FOUND","OK")))))</x:f>
      </x:c>
    </x:row>
    <x:row r="969">
      <x:c r="E969" s="102"/>
      <x:c r="G969" s="100" t="str">
        <x:f>IF(COUNTA(A969:F969)=0,"",IF(OR(A969="",B969="",C969="",D969=""),"COMPLETE ROW",IF(COUNTIF(Clients!$A$5:$A$404,C969)=0,"CLIENT NOT FOUND",IF(COUNTIFS(Clients!$A$5:$A$404,C969,Clients!$B$5:$B$404,"Active")=0,"CLIENT NOT ACTIVE",IF(COUNTIF(Teams!$A$5:$A$104,D969)=0,"TEAM NOT FOUND","OK")))))</x:f>
      </x:c>
    </x:row>
    <x:row r="970">
      <x:c r="E970" s="102"/>
      <x:c r="G970" s="100" t="str">
        <x:f>IF(COUNTA(A970:F970)=0,"",IF(OR(A970="",B970="",C970="",D970=""),"COMPLETE ROW",IF(COUNTIF(Clients!$A$5:$A$404,C970)=0,"CLIENT NOT FOUND",IF(COUNTIFS(Clients!$A$5:$A$404,C970,Clients!$B$5:$B$404,"Active")=0,"CLIENT NOT ACTIVE",IF(COUNTIF(Teams!$A$5:$A$104,D970)=0,"TEAM NOT FOUND","OK")))))</x:f>
      </x:c>
    </x:row>
    <x:row r="971">
      <x:c r="E971" s="102"/>
      <x:c r="G971" s="100" t="str">
        <x:f>IF(COUNTA(A971:F971)=0,"",IF(OR(A971="",B971="",C971="",D971=""),"COMPLETE ROW",IF(COUNTIF(Clients!$A$5:$A$404,C971)=0,"CLIENT NOT FOUND",IF(COUNTIFS(Clients!$A$5:$A$404,C971,Clients!$B$5:$B$404,"Active")=0,"CLIENT NOT ACTIVE",IF(COUNTIF(Teams!$A$5:$A$104,D971)=0,"TEAM NOT FOUND","OK")))))</x:f>
      </x:c>
    </x:row>
    <x:row r="972">
      <x:c r="E972" s="102"/>
      <x:c r="G972" s="100" t="str">
        <x:f>IF(COUNTA(A972:F972)=0,"",IF(OR(A972="",B972="",C972="",D972=""),"COMPLETE ROW",IF(COUNTIF(Clients!$A$5:$A$404,C972)=0,"CLIENT NOT FOUND",IF(COUNTIFS(Clients!$A$5:$A$404,C972,Clients!$B$5:$B$404,"Active")=0,"CLIENT NOT ACTIVE",IF(COUNTIF(Teams!$A$5:$A$104,D972)=0,"TEAM NOT FOUND","OK")))))</x:f>
      </x:c>
    </x:row>
    <x:row r="973">
      <x:c r="E973" s="102"/>
      <x:c r="G973" s="100" t="str">
        <x:f>IF(COUNTA(A973:F973)=0,"",IF(OR(A973="",B973="",C973="",D973=""),"COMPLETE ROW",IF(COUNTIF(Clients!$A$5:$A$404,C973)=0,"CLIENT NOT FOUND",IF(COUNTIFS(Clients!$A$5:$A$404,C973,Clients!$B$5:$B$404,"Active")=0,"CLIENT NOT ACTIVE",IF(COUNTIF(Teams!$A$5:$A$104,D973)=0,"TEAM NOT FOUND","OK")))))</x:f>
      </x:c>
    </x:row>
    <x:row r="974">
      <x:c r="E974" s="102"/>
      <x:c r="G974" s="100" t="str">
        <x:f>IF(COUNTA(A974:F974)=0,"",IF(OR(A974="",B974="",C974="",D974=""),"COMPLETE ROW",IF(COUNTIF(Clients!$A$5:$A$404,C974)=0,"CLIENT NOT FOUND",IF(COUNTIFS(Clients!$A$5:$A$404,C974,Clients!$B$5:$B$404,"Active")=0,"CLIENT NOT ACTIVE",IF(COUNTIF(Teams!$A$5:$A$104,D974)=0,"TEAM NOT FOUND","OK")))))</x:f>
      </x:c>
    </x:row>
    <x:row r="975">
      <x:c r="E975" s="102"/>
      <x:c r="G975" s="100" t="str">
        <x:f>IF(COUNTA(A975:F975)=0,"",IF(OR(A975="",B975="",C975="",D975=""),"COMPLETE ROW",IF(COUNTIF(Clients!$A$5:$A$404,C975)=0,"CLIENT NOT FOUND",IF(COUNTIFS(Clients!$A$5:$A$404,C975,Clients!$B$5:$B$404,"Active")=0,"CLIENT NOT ACTIVE",IF(COUNTIF(Teams!$A$5:$A$104,D975)=0,"TEAM NOT FOUND","OK")))))</x:f>
      </x:c>
    </x:row>
    <x:row r="976">
      <x:c r="E976" s="102"/>
      <x:c r="G976" s="100" t="str">
        <x:f>IF(COUNTA(A976:F976)=0,"",IF(OR(A976="",B976="",C976="",D976=""),"COMPLETE ROW",IF(COUNTIF(Clients!$A$5:$A$404,C976)=0,"CLIENT NOT FOUND",IF(COUNTIFS(Clients!$A$5:$A$404,C976,Clients!$B$5:$B$404,"Active")=0,"CLIENT NOT ACTIVE",IF(COUNTIF(Teams!$A$5:$A$104,D976)=0,"TEAM NOT FOUND","OK")))))</x:f>
      </x:c>
    </x:row>
    <x:row r="977">
      <x:c r="E977" s="102"/>
      <x:c r="G977" s="100" t="str">
        <x:f>IF(COUNTA(A977:F977)=0,"",IF(OR(A977="",B977="",C977="",D977=""),"COMPLETE ROW",IF(COUNTIF(Clients!$A$5:$A$404,C977)=0,"CLIENT NOT FOUND",IF(COUNTIFS(Clients!$A$5:$A$404,C977,Clients!$B$5:$B$404,"Active")=0,"CLIENT NOT ACTIVE",IF(COUNTIF(Teams!$A$5:$A$104,D977)=0,"TEAM NOT FOUND","OK")))))</x:f>
      </x:c>
    </x:row>
    <x:row r="978">
      <x:c r="E978" s="102"/>
      <x:c r="G978" s="100" t="str">
        <x:f>IF(COUNTA(A978:F978)=0,"",IF(OR(A978="",B978="",C978="",D978=""),"COMPLETE ROW",IF(COUNTIF(Clients!$A$5:$A$404,C978)=0,"CLIENT NOT FOUND",IF(COUNTIFS(Clients!$A$5:$A$404,C978,Clients!$B$5:$B$404,"Active")=0,"CLIENT NOT ACTIVE",IF(COUNTIF(Teams!$A$5:$A$104,D978)=0,"TEAM NOT FOUND","OK")))))</x:f>
      </x:c>
    </x:row>
    <x:row r="979">
      <x:c r="E979" s="102"/>
      <x:c r="G979" s="100" t="str">
        <x:f>IF(COUNTA(A979:F979)=0,"",IF(OR(A979="",B979="",C979="",D979=""),"COMPLETE ROW",IF(COUNTIF(Clients!$A$5:$A$404,C979)=0,"CLIENT NOT FOUND",IF(COUNTIFS(Clients!$A$5:$A$404,C979,Clients!$B$5:$B$404,"Active")=0,"CLIENT NOT ACTIVE",IF(COUNTIF(Teams!$A$5:$A$104,D979)=0,"TEAM NOT FOUND","OK")))))</x:f>
      </x:c>
    </x:row>
    <x:row r="980">
      <x:c r="E980" s="102"/>
      <x:c r="G980" s="100" t="str">
        <x:f>IF(COUNTA(A980:F980)=0,"",IF(OR(A980="",B980="",C980="",D980=""),"COMPLETE ROW",IF(COUNTIF(Clients!$A$5:$A$404,C980)=0,"CLIENT NOT FOUND",IF(COUNTIFS(Clients!$A$5:$A$404,C980,Clients!$B$5:$B$404,"Active")=0,"CLIENT NOT ACTIVE",IF(COUNTIF(Teams!$A$5:$A$104,D980)=0,"TEAM NOT FOUND","OK")))))</x:f>
      </x:c>
    </x:row>
    <x:row r="981">
      <x:c r="E981" s="102"/>
      <x:c r="G981" s="100" t="str">
        <x:f>IF(COUNTA(A981:F981)=0,"",IF(OR(A981="",B981="",C981="",D981=""),"COMPLETE ROW",IF(COUNTIF(Clients!$A$5:$A$404,C981)=0,"CLIENT NOT FOUND",IF(COUNTIFS(Clients!$A$5:$A$404,C981,Clients!$B$5:$B$404,"Active")=0,"CLIENT NOT ACTIVE",IF(COUNTIF(Teams!$A$5:$A$104,D981)=0,"TEAM NOT FOUND","OK")))))</x:f>
      </x:c>
    </x:row>
    <x:row r="982">
      <x:c r="E982" s="102"/>
      <x:c r="G982" s="100" t="str">
        <x:f>IF(COUNTA(A982:F982)=0,"",IF(OR(A982="",B982="",C982="",D982=""),"COMPLETE ROW",IF(COUNTIF(Clients!$A$5:$A$404,C982)=0,"CLIENT NOT FOUND",IF(COUNTIFS(Clients!$A$5:$A$404,C982,Clients!$B$5:$B$404,"Active")=0,"CLIENT NOT ACTIVE",IF(COUNTIF(Teams!$A$5:$A$104,D982)=0,"TEAM NOT FOUND","OK")))))</x:f>
      </x:c>
    </x:row>
    <x:row r="983">
      <x:c r="E983" s="102"/>
      <x:c r="G983" s="100" t="str">
        <x:f>IF(COUNTA(A983:F983)=0,"",IF(OR(A983="",B983="",C983="",D983=""),"COMPLETE ROW",IF(COUNTIF(Clients!$A$5:$A$404,C983)=0,"CLIENT NOT FOUND",IF(COUNTIFS(Clients!$A$5:$A$404,C983,Clients!$B$5:$B$404,"Active")=0,"CLIENT NOT ACTIVE",IF(COUNTIF(Teams!$A$5:$A$104,D983)=0,"TEAM NOT FOUND","OK")))))</x:f>
      </x:c>
    </x:row>
    <x:row r="984">
      <x:c r="E984" s="102"/>
      <x:c r="G984" s="100" t="str">
        <x:f>IF(COUNTA(A984:F984)=0,"",IF(OR(A984="",B984="",C984="",D984=""),"COMPLETE ROW",IF(COUNTIF(Clients!$A$5:$A$404,C984)=0,"CLIENT NOT FOUND",IF(COUNTIFS(Clients!$A$5:$A$404,C984,Clients!$B$5:$B$404,"Active")=0,"CLIENT NOT ACTIVE",IF(COUNTIF(Teams!$A$5:$A$104,D984)=0,"TEAM NOT FOUND","OK")))))</x:f>
      </x:c>
    </x:row>
    <x:row r="985">
      <x:c r="E985" s="102"/>
      <x:c r="G985" s="100" t="str">
        <x:f>IF(COUNTA(A985:F985)=0,"",IF(OR(A985="",B985="",C985="",D985=""),"COMPLETE ROW",IF(COUNTIF(Clients!$A$5:$A$404,C985)=0,"CLIENT NOT FOUND",IF(COUNTIFS(Clients!$A$5:$A$404,C985,Clients!$B$5:$B$404,"Active")=0,"CLIENT NOT ACTIVE",IF(COUNTIF(Teams!$A$5:$A$104,D985)=0,"TEAM NOT FOUND","OK")))))</x:f>
      </x:c>
    </x:row>
    <x:row r="986">
      <x:c r="E986" s="102"/>
      <x:c r="G986" s="100" t="str">
        <x:f>IF(COUNTA(A986:F986)=0,"",IF(OR(A986="",B986="",C986="",D986=""),"COMPLETE ROW",IF(COUNTIF(Clients!$A$5:$A$404,C986)=0,"CLIENT NOT FOUND",IF(COUNTIFS(Clients!$A$5:$A$404,C986,Clients!$B$5:$B$404,"Active")=0,"CLIENT NOT ACTIVE",IF(COUNTIF(Teams!$A$5:$A$104,D986)=0,"TEAM NOT FOUND","OK")))))</x:f>
      </x:c>
    </x:row>
    <x:row r="987">
      <x:c r="E987" s="102"/>
      <x:c r="G987" s="100" t="str">
        <x:f>IF(COUNTA(A987:F987)=0,"",IF(OR(A987="",B987="",C987="",D987=""),"COMPLETE ROW",IF(COUNTIF(Clients!$A$5:$A$404,C987)=0,"CLIENT NOT FOUND",IF(COUNTIFS(Clients!$A$5:$A$404,C987,Clients!$B$5:$B$404,"Active")=0,"CLIENT NOT ACTIVE",IF(COUNTIF(Teams!$A$5:$A$104,D987)=0,"TEAM NOT FOUND","OK")))))</x:f>
      </x:c>
    </x:row>
    <x:row r="988">
      <x:c r="E988" s="102"/>
      <x:c r="G988" s="100" t="str">
        <x:f>IF(COUNTA(A988:F988)=0,"",IF(OR(A988="",B988="",C988="",D988=""),"COMPLETE ROW",IF(COUNTIF(Clients!$A$5:$A$404,C988)=0,"CLIENT NOT FOUND",IF(COUNTIFS(Clients!$A$5:$A$404,C988,Clients!$B$5:$B$404,"Active")=0,"CLIENT NOT ACTIVE",IF(COUNTIF(Teams!$A$5:$A$104,D988)=0,"TEAM NOT FOUND","OK")))))</x:f>
      </x:c>
    </x:row>
    <x:row r="989">
      <x:c r="E989" s="102"/>
      <x:c r="G989" s="100" t="str">
        <x:f>IF(COUNTA(A989:F989)=0,"",IF(OR(A989="",B989="",C989="",D989=""),"COMPLETE ROW",IF(COUNTIF(Clients!$A$5:$A$404,C989)=0,"CLIENT NOT FOUND",IF(COUNTIFS(Clients!$A$5:$A$404,C989,Clients!$B$5:$B$404,"Active")=0,"CLIENT NOT ACTIVE",IF(COUNTIF(Teams!$A$5:$A$104,D989)=0,"TEAM NOT FOUND","OK")))))</x:f>
      </x:c>
    </x:row>
    <x:row r="990">
      <x:c r="E990" s="102"/>
      <x:c r="G990" s="100" t="str">
        <x:f>IF(COUNTA(A990:F990)=0,"",IF(OR(A990="",B990="",C990="",D990=""),"COMPLETE ROW",IF(COUNTIF(Clients!$A$5:$A$404,C990)=0,"CLIENT NOT FOUND",IF(COUNTIFS(Clients!$A$5:$A$404,C990,Clients!$B$5:$B$404,"Active")=0,"CLIENT NOT ACTIVE",IF(COUNTIF(Teams!$A$5:$A$104,D990)=0,"TEAM NOT FOUND","OK")))))</x:f>
      </x:c>
    </x:row>
    <x:row r="991">
      <x:c r="E991" s="102"/>
      <x:c r="G991" s="100" t="str">
        <x:f>IF(COUNTA(A991:F991)=0,"",IF(OR(A991="",B991="",C991="",D991=""),"COMPLETE ROW",IF(COUNTIF(Clients!$A$5:$A$404,C991)=0,"CLIENT NOT FOUND",IF(COUNTIFS(Clients!$A$5:$A$404,C991,Clients!$B$5:$B$404,"Active")=0,"CLIENT NOT ACTIVE",IF(COUNTIF(Teams!$A$5:$A$104,D991)=0,"TEAM NOT FOUND","OK")))))</x:f>
      </x:c>
    </x:row>
    <x:row r="992">
      <x:c r="E992" s="102"/>
      <x:c r="G992" s="100" t="str">
        <x:f>IF(COUNTA(A992:F992)=0,"",IF(OR(A992="",B992="",C992="",D992=""),"COMPLETE ROW",IF(COUNTIF(Clients!$A$5:$A$404,C992)=0,"CLIENT NOT FOUND",IF(COUNTIFS(Clients!$A$5:$A$404,C992,Clients!$B$5:$B$404,"Active")=0,"CLIENT NOT ACTIVE",IF(COUNTIF(Teams!$A$5:$A$104,D992)=0,"TEAM NOT FOUND","OK")))))</x:f>
      </x:c>
    </x:row>
    <x:row r="993">
      <x:c r="E993" s="102"/>
      <x:c r="G993" s="100" t="str">
        <x:f>IF(COUNTA(A993:F993)=0,"",IF(OR(A993="",B993="",C993="",D993=""),"COMPLETE ROW",IF(COUNTIF(Clients!$A$5:$A$404,C993)=0,"CLIENT NOT FOUND",IF(COUNTIFS(Clients!$A$5:$A$404,C993,Clients!$B$5:$B$404,"Active")=0,"CLIENT NOT ACTIVE",IF(COUNTIF(Teams!$A$5:$A$104,D993)=0,"TEAM NOT FOUND","OK")))))</x:f>
      </x:c>
    </x:row>
    <x:row r="994">
      <x:c r="E994" s="102"/>
      <x:c r="G994" s="100" t="str">
        <x:f>IF(COUNTA(A994:F994)=0,"",IF(OR(A994="",B994="",C994="",D994=""),"COMPLETE ROW",IF(COUNTIF(Clients!$A$5:$A$404,C994)=0,"CLIENT NOT FOUND",IF(COUNTIFS(Clients!$A$5:$A$404,C994,Clients!$B$5:$B$404,"Active")=0,"CLIENT NOT ACTIVE",IF(COUNTIF(Teams!$A$5:$A$104,D994)=0,"TEAM NOT FOUND","OK")))))</x:f>
      </x:c>
    </x:row>
    <x:row r="995">
      <x:c r="E995" s="102"/>
      <x:c r="G995" s="100" t="str">
        <x:f>IF(COUNTA(A995:F995)=0,"",IF(OR(A995="",B995="",C995="",D995=""),"COMPLETE ROW",IF(COUNTIF(Clients!$A$5:$A$404,C995)=0,"CLIENT NOT FOUND",IF(COUNTIFS(Clients!$A$5:$A$404,C995,Clients!$B$5:$B$404,"Active")=0,"CLIENT NOT ACTIVE",IF(COUNTIF(Teams!$A$5:$A$104,D995)=0,"TEAM NOT FOUND","OK")))))</x:f>
      </x:c>
    </x:row>
    <x:row r="996">
      <x:c r="E996" s="102"/>
      <x:c r="G996" s="100" t="str">
        <x:f>IF(COUNTA(A996:F996)=0,"",IF(OR(A996="",B996="",C996="",D996=""),"COMPLETE ROW",IF(COUNTIF(Clients!$A$5:$A$404,C996)=0,"CLIENT NOT FOUND",IF(COUNTIFS(Clients!$A$5:$A$404,C996,Clients!$B$5:$B$404,"Active")=0,"CLIENT NOT ACTIVE",IF(COUNTIF(Teams!$A$5:$A$104,D996)=0,"TEAM NOT FOUND","OK")))))</x:f>
      </x:c>
    </x:row>
    <x:row r="997">
      <x:c r="E997" s="102"/>
      <x:c r="G997" s="100" t="str">
        <x:f>IF(COUNTA(A997:F997)=0,"",IF(OR(A997="",B997="",C997="",D997=""),"COMPLETE ROW",IF(COUNTIF(Clients!$A$5:$A$404,C997)=0,"CLIENT NOT FOUND",IF(COUNTIFS(Clients!$A$5:$A$404,C997,Clients!$B$5:$B$404,"Active")=0,"CLIENT NOT ACTIVE",IF(COUNTIF(Teams!$A$5:$A$104,D997)=0,"TEAM NOT FOUND","OK")))))</x:f>
      </x:c>
    </x:row>
    <x:row r="998">
      <x:c r="E998" s="102"/>
      <x:c r="G998" s="100" t="str">
        <x:f>IF(COUNTA(A998:F998)=0,"",IF(OR(A998="",B998="",C998="",D998=""),"COMPLETE ROW",IF(COUNTIF(Clients!$A$5:$A$404,C998)=0,"CLIENT NOT FOUND",IF(COUNTIFS(Clients!$A$5:$A$404,C998,Clients!$B$5:$B$404,"Active")=0,"CLIENT NOT ACTIVE",IF(COUNTIF(Teams!$A$5:$A$104,D998)=0,"TEAM NOT FOUND","OK")))))</x:f>
      </x:c>
    </x:row>
    <x:row r="999">
      <x:c r="E999" s="102"/>
      <x:c r="G999" s="100" t="str">
        <x:f>IF(COUNTA(A999:F999)=0,"",IF(OR(A999="",B999="",C999="",D999=""),"COMPLETE ROW",IF(COUNTIF(Clients!$A$5:$A$404,C999)=0,"CLIENT NOT FOUND",IF(COUNTIFS(Clients!$A$5:$A$404,C999,Clients!$B$5:$B$404,"Active")=0,"CLIENT NOT ACTIVE",IF(COUNTIF(Teams!$A$5:$A$104,D999)=0,"TEAM NOT FOUND","OK")))))</x:f>
      </x:c>
    </x:row>
    <x:row r="1000">
      <x:c r="E1000" s="102"/>
      <x:c r="G1000" s="100" t="str">
        <x:f>IF(COUNTA(A1000:F1000)=0,"",IF(OR(A1000="",B1000="",C1000="",D1000=""),"COMPLETE ROW",IF(COUNTIF(Clients!$A$5:$A$404,C1000)=0,"CLIENT NOT FOUND",IF(COUNTIFS(Clients!$A$5:$A$404,C1000,Clients!$B$5:$B$404,"Active")=0,"CLIENT NOT ACTIVE",IF(COUNTIF(Teams!$A$5:$A$104,D1000)=0,"TEAM NOT FOUND","OK")))))</x:f>
      </x:c>
    </x:row>
    <x:row r="1001">
      <x:c r="E1001" s="102"/>
      <x:c r="G1001" s="100" t="str">
        <x:f>IF(COUNTA(A1001:F1001)=0,"",IF(OR(A1001="",B1001="",C1001="",D1001=""),"COMPLETE ROW",IF(COUNTIF(Clients!$A$5:$A$404,C1001)=0,"CLIENT NOT FOUND",IF(COUNTIFS(Clients!$A$5:$A$404,C1001,Clients!$B$5:$B$404,"Active")=0,"CLIENT NOT ACTIVE",IF(COUNTIF(Teams!$A$5:$A$104,D1001)=0,"TEAM NOT FOUND","OK")))))</x:f>
      </x:c>
    </x:row>
    <x:row r="1002">
      <x:c r="E1002" s="102"/>
      <x:c r="G1002" s="100" t="str">
        <x:f>IF(COUNTA(A1002:F1002)=0,"",IF(OR(A1002="",B1002="",C1002="",D1002=""),"COMPLETE ROW",IF(COUNTIF(Clients!$A$5:$A$404,C1002)=0,"CLIENT NOT FOUND",IF(COUNTIFS(Clients!$A$5:$A$404,C1002,Clients!$B$5:$B$404,"Active")=0,"CLIENT NOT ACTIVE",IF(COUNTIF(Teams!$A$5:$A$104,D1002)=0,"TEAM NOT FOUND","OK")))))</x:f>
      </x:c>
    </x:row>
    <x:row r="1003">
      <x:c r="E1003" s="102"/>
      <x:c r="G1003" s="100" t="str">
        <x:f>IF(COUNTA(A1003:F1003)=0,"",IF(OR(A1003="",B1003="",C1003="",D1003=""),"COMPLETE ROW",IF(COUNTIF(Clients!$A$5:$A$404,C1003)=0,"CLIENT NOT FOUND",IF(COUNTIFS(Clients!$A$5:$A$404,C1003,Clients!$B$5:$B$404,"Active")=0,"CLIENT NOT ACTIVE",IF(COUNTIF(Teams!$A$5:$A$104,D1003)=0,"TEAM NOT FOUND","OK")))))</x:f>
      </x:c>
    </x:row>
    <x:row r="1004">
      <x:c r="E1004" s="102"/>
      <x:c r="G1004" s="100" t="str">
        <x:f>IF(COUNTA(A1004:F1004)=0,"",IF(OR(A1004="",B1004="",C1004="",D1004=""),"COMPLETE ROW",IF(COUNTIF(Clients!$A$5:$A$404,C1004)=0,"CLIENT NOT FOUND",IF(COUNTIFS(Clients!$A$5:$A$404,C1004,Clients!$B$5:$B$404,"Active")=0,"CLIENT NOT ACTIVE",IF(COUNTIF(Teams!$A$5:$A$104,D1004)=0,"TEAM NOT FOUND","OK")))))</x:f>
      </x:c>
    </x:row>
    <x:row r="1005">
      <x:c r="E1005" s="102"/>
      <x:c r="G1005" s="100" t="str">
        <x:f>IF(COUNTA(A1005:F1005)=0,"",IF(OR(A1005="",B1005="",C1005="",D1005=""),"COMPLETE ROW",IF(COUNTIF(Clients!$A$5:$A$404,C1005)=0,"CLIENT NOT FOUND",IF(COUNTIFS(Clients!$A$5:$A$404,C1005,Clients!$B$5:$B$404,"Active")=0,"CLIENT NOT ACTIVE",IF(COUNTIF(Teams!$A$5:$A$104,D1005)=0,"TEAM NOT FOUND","OK")))))</x:f>
      </x:c>
    </x:row>
    <x:row r="1006">
      <x:c r="E1006" s="102"/>
      <x:c r="G1006" s="100" t="str">
        <x:f>IF(COUNTA(A1006:F1006)=0,"",IF(OR(A1006="",B1006="",C1006="",D1006=""),"COMPLETE ROW",IF(COUNTIF(Clients!$A$5:$A$404,C1006)=0,"CLIENT NOT FOUND",IF(COUNTIFS(Clients!$A$5:$A$404,C1006,Clients!$B$5:$B$404,"Active")=0,"CLIENT NOT ACTIVE",IF(COUNTIF(Teams!$A$5:$A$104,D1006)=0,"TEAM NOT FOUND","OK")))))</x:f>
      </x:c>
    </x:row>
    <x:row r="1007">
      <x:c r="E1007" s="102"/>
      <x:c r="G1007" s="100" t="str">
        <x:f>IF(COUNTA(A1007:F1007)=0,"",IF(OR(A1007="",B1007="",C1007="",D1007=""),"COMPLETE ROW",IF(COUNTIF(Clients!$A$5:$A$404,C1007)=0,"CLIENT NOT FOUND",IF(COUNTIFS(Clients!$A$5:$A$404,C1007,Clients!$B$5:$B$404,"Active")=0,"CLIENT NOT ACTIVE",IF(COUNTIF(Teams!$A$5:$A$104,D1007)=0,"TEAM NOT FOUND","OK")))))</x:f>
      </x:c>
    </x:row>
    <x:row r="1008">
      <x:c r="E1008" s="102"/>
      <x:c r="G1008" s="100" t="str">
        <x:f>IF(COUNTA(A1008:F1008)=0,"",IF(OR(A1008="",B1008="",C1008="",D1008=""),"COMPLETE ROW",IF(COUNTIF(Clients!$A$5:$A$404,C1008)=0,"CLIENT NOT FOUND",IF(COUNTIFS(Clients!$A$5:$A$404,C1008,Clients!$B$5:$B$404,"Active")=0,"CLIENT NOT ACTIVE",IF(COUNTIF(Teams!$A$5:$A$104,D1008)=0,"TEAM NOT FOUND","OK")))))</x:f>
      </x:c>
    </x:row>
    <x:row r="1009">
      <x:c r="E1009" s="102"/>
      <x:c r="G1009" s="100" t="str">
        <x:f>IF(COUNTA(A1009:F1009)=0,"",IF(OR(A1009="",B1009="",C1009="",D1009=""),"COMPLETE ROW",IF(COUNTIF(Clients!$A$5:$A$404,C1009)=0,"CLIENT NOT FOUND",IF(COUNTIFS(Clients!$A$5:$A$404,C1009,Clients!$B$5:$B$404,"Active")=0,"CLIENT NOT ACTIVE",IF(COUNTIF(Teams!$A$5:$A$104,D1009)=0,"TEAM NOT FOUND","OK")))))</x:f>
      </x:c>
    </x:row>
    <x:row r="1010">
      <x:c r="E1010" s="102"/>
      <x:c r="G1010" s="100" t="str">
        <x:f>IF(COUNTA(A1010:F1010)=0,"",IF(OR(A1010="",B1010="",C1010="",D1010=""),"COMPLETE ROW",IF(COUNTIF(Clients!$A$5:$A$404,C1010)=0,"CLIENT NOT FOUND",IF(COUNTIFS(Clients!$A$5:$A$404,C1010,Clients!$B$5:$B$404,"Active")=0,"CLIENT NOT ACTIVE",IF(COUNTIF(Teams!$A$5:$A$104,D1010)=0,"TEAM NOT FOUND","OK")))))</x:f>
      </x:c>
    </x:row>
    <x:row r="1011">
      <x:c r="E1011" s="102"/>
      <x:c r="G1011" s="100" t="str">
        <x:f>IF(COUNTA(A1011:F1011)=0,"",IF(OR(A1011="",B1011="",C1011="",D1011=""),"COMPLETE ROW",IF(COUNTIF(Clients!$A$5:$A$404,C1011)=0,"CLIENT NOT FOUND",IF(COUNTIFS(Clients!$A$5:$A$404,C1011,Clients!$B$5:$B$404,"Active")=0,"CLIENT NOT ACTIVE",IF(COUNTIF(Teams!$A$5:$A$104,D1011)=0,"TEAM NOT FOUND","OK")))))</x:f>
      </x:c>
    </x:row>
    <x:row r="1012">
      <x:c r="E1012" s="102"/>
      <x:c r="G1012" s="100" t="str">
        <x:f>IF(COUNTA(A1012:F1012)=0,"",IF(OR(A1012="",B1012="",C1012="",D1012=""),"COMPLETE ROW",IF(COUNTIF(Clients!$A$5:$A$404,C1012)=0,"CLIENT NOT FOUND",IF(COUNTIFS(Clients!$A$5:$A$404,C1012,Clients!$B$5:$B$404,"Active")=0,"CLIENT NOT ACTIVE",IF(COUNTIF(Teams!$A$5:$A$104,D1012)=0,"TEAM NOT FOUND","OK")))))</x:f>
      </x:c>
    </x:row>
    <x:row r="1013">
      <x:c r="E1013" s="102"/>
      <x:c r="G1013" s="100" t="str">
        <x:f>IF(COUNTA(A1013:F1013)=0,"",IF(OR(A1013="",B1013="",C1013="",D1013=""),"COMPLETE ROW",IF(COUNTIF(Clients!$A$5:$A$404,C1013)=0,"CLIENT NOT FOUND",IF(COUNTIFS(Clients!$A$5:$A$404,C1013,Clients!$B$5:$B$404,"Active")=0,"CLIENT NOT ACTIVE",IF(COUNTIF(Teams!$A$5:$A$104,D1013)=0,"TEAM NOT FOUND","OK")))))</x:f>
      </x:c>
    </x:row>
    <x:row r="1014">
      <x:c r="E1014" s="102"/>
      <x:c r="G1014" s="100" t="str">
        <x:f>IF(COUNTA(A1014:F1014)=0,"",IF(OR(A1014="",B1014="",C1014="",D1014=""),"COMPLETE ROW",IF(COUNTIF(Clients!$A$5:$A$404,C1014)=0,"CLIENT NOT FOUND",IF(COUNTIFS(Clients!$A$5:$A$404,C1014,Clients!$B$5:$B$404,"Active")=0,"CLIENT NOT ACTIVE",IF(COUNTIF(Teams!$A$5:$A$104,D1014)=0,"TEAM NOT FOUND","OK")))))</x:f>
      </x:c>
    </x:row>
    <x:row r="1015">
      <x:c r="E1015" s="102"/>
      <x:c r="G1015" s="100" t="str">
        <x:f>IF(COUNTA(A1015:F1015)=0,"",IF(OR(A1015="",B1015="",C1015="",D1015=""),"COMPLETE ROW",IF(COUNTIF(Clients!$A$5:$A$404,C1015)=0,"CLIENT NOT FOUND",IF(COUNTIFS(Clients!$A$5:$A$404,C1015,Clients!$B$5:$B$404,"Active")=0,"CLIENT NOT ACTIVE",IF(COUNTIF(Teams!$A$5:$A$104,D1015)=0,"TEAM NOT FOUND","OK")))))</x:f>
      </x:c>
    </x:row>
    <x:row r="1016">
      <x:c r="E1016" s="102"/>
      <x:c r="G1016" s="100" t="str">
        <x:f>IF(COUNTA(A1016:F1016)=0,"",IF(OR(A1016="",B1016="",C1016="",D1016=""),"COMPLETE ROW",IF(COUNTIF(Clients!$A$5:$A$404,C1016)=0,"CLIENT NOT FOUND",IF(COUNTIFS(Clients!$A$5:$A$404,C1016,Clients!$B$5:$B$404,"Active")=0,"CLIENT NOT ACTIVE",IF(COUNTIF(Teams!$A$5:$A$104,D1016)=0,"TEAM NOT FOUND","OK")))))</x:f>
      </x:c>
    </x:row>
    <x:row r="1017">
      <x:c r="E1017" s="102"/>
      <x:c r="G1017" s="100" t="str">
        <x:f>IF(COUNTA(A1017:F1017)=0,"",IF(OR(A1017="",B1017="",C1017="",D1017=""),"COMPLETE ROW",IF(COUNTIF(Clients!$A$5:$A$404,C1017)=0,"CLIENT NOT FOUND",IF(COUNTIFS(Clients!$A$5:$A$404,C1017,Clients!$B$5:$B$404,"Active")=0,"CLIENT NOT ACTIVE",IF(COUNTIF(Teams!$A$5:$A$104,D1017)=0,"TEAM NOT FOUND","OK")))))</x:f>
      </x:c>
    </x:row>
    <x:row r="1018">
      <x:c r="E1018" s="102"/>
      <x:c r="G1018" s="100" t="str">
        <x:f>IF(COUNTA(A1018:F1018)=0,"",IF(OR(A1018="",B1018="",C1018="",D1018=""),"COMPLETE ROW",IF(COUNTIF(Clients!$A$5:$A$404,C1018)=0,"CLIENT NOT FOUND",IF(COUNTIFS(Clients!$A$5:$A$404,C1018,Clients!$B$5:$B$404,"Active")=0,"CLIENT NOT ACTIVE",IF(COUNTIF(Teams!$A$5:$A$104,D1018)=0,"TEAM NOT FOUND","OK")))))</x:f>
      </x:c>
    </x:row>
    <x:row r="1019">
      <x:c r="E1019" s="102"/>
      <x:c r="G1019" s="100" t="str">
        <x:f>IF(COUNTA(A1019:F1019)=0,"",IF(OR(A1019="",B1019="",C1019="",D1019=""),"COMPLETE ROW",IF(COUNTIF(Clients!$A$5:$A$404,C1019)=0,"CLIENT NOT FOUND",IF(COUNTIFS(Clients!$A$5:$A$404,C1019,Clients!$B$5:$B$404,"Active")=0,"CLIENT NOT ACTIVE",IF(COUNTIF(Teams!$A$5:$A$104,D1019)=0,"TEAM NOT FOUND","OK")))))</x:f>
      </x:c>
    </x:row>
    <x:row r="1020">
      <x:c r="E1020" s="102"/>
      <x:c r="G1020" s="100" t="str">
        <x:f>IF(COUNTA(A1020:F1020)=0,"",IF(OR(A1020="",B1020="",C1020="",D1020=""),"COMPLETE ROW",IF(COUNTIF(Clients!$A$5:$A$404,C1020)=0,"CLIENT NOT FOUND",IF(COUNTIFS(Clients!$A$5:$A$404,C1020,Clients!$B$5:$B$404,"Active")=0,"CLIENT NOT ACTIVE",IF(COUNTIF(Teams!$A$5:$A$104,D1020)=0,"TEAM NOT FOUND","OK")))))</x:f>
      </x:c>
    </x:row>
    <x:row r="1021">
      <x:c r="E1021" s="102"/>
      <x:c r="G1021" s="100" t="str">
        <x:f>IF(COUNTA(A1021:F1021)=0,"",IF(OR(A1021="",B1021="",C1021="",D1021=""),"COMPLETE ROW",IF(COUNTIF(Clients!$A$5:$A$404,C1021)=0,"CLIENT NOT FOUND",IF(COUNTIFS(Clients!$A$5:$A$404,C1021,Clients!$B$5:$B$404,"Active")=0,"CLIENT NOT ACTIVE",IF(COUNTIF(Teams!$A$5:$A$104,D1021)=0,"TEAM NOT FOUND","OK")))))</x:f>
      </x:c>
    </x:row>
    <x:row r="1022">
      <x:c r="E1022" s="102"/>
      <x:c r="G1022" s="100" t="str">
        <x:f>IF(COUNTA(A1022:F1022)=0,"",IF(OR(A1022="",B1022="",C1022="",D1022=""),"COMPLETE ROW",IF(COUNTIF(Clients!$A$5:$A$404,C1022)=0,"CLIENT NOT FOUND",IF(COUNTIFS(Clients!$A$5:$A$404,C1022,Clients!$B$5:$B$404,"Active")=0,"CLIENT NOT ACTIVE",IF(COUNTIF(Teams!$A$5:$A$104,D1022)=0,"TEAM NOT FOUND","OK")))))</x:f>
      </x:c>
    </x:row>
    <x:row r="1023">
      <x:c r="E1023" s="102"/>
      <x:c r="G1023" s="100" t="str">
        <x:f>IF(COUNTA(A1023:F1023)=0,"",IF(OR(A1023="",B1023="",C1023="",D1023=""),"COMPLETE ROW",IF(COUNTIF(Clients!$A$5:$A$404,C1023)=0,"CLIENT NOT FOUND",IF(COUNTIFS(Clients!$A$5:$A$404,C1023,Clients!$B$5:$B$404,"Active")=0,"CLIENT NOT ACTIVE",IF(COUNTIF(Teams!$A$5:$A$104,D1023)=0,"TEAM NOT FOUND","OK")))))</x:f>
      </x:c>
    </x:row>
    <x:row r="1024">
      <x:c r="E1024" s="102"/>
      <x:c r="G1024" s="100" t="str">
        <x:f>IF(COUNTA(A1024:F1024)=0,"",IF(OR(A1024="",B1024="",C1024="",D1024=""),"COMPLETE ROW",IF(COUNTIF(Clients!$A$5:$A$404,C1024)=0,"CLIENT NOT FOUND",IF(COUNTIFS(Clients!$A$5:$A$404,C1024,Clients!$B$5:$B$404,"Active")=0,"CLIENT NOT ACTIVE",IF(COUNTIF(Teams!$A$5:$A$104,D1024)=0,"TEAM NOT FOUND","OK")))))</x:f>
      </x:c>
    </x:row>
    <x:row r="1025">
      <x:c r="E1025" s="102"/>
      <x:c r="G1025" s="100" t="str">
        <x:f>IF(COUNTA(A1025:F1025)=0,"",IF(OR(A1025="",B1025="",C1025="",D1025=""),"COMPLETE ROW",IF(COUNTIF(Clients!$A$5:$A$404,C1025)=0,"CLIENT NOT FOUND",IF(COUNTIFS(Clients!$A$5:$A$404,C1025,Clients!$B$5:$B$404,"Active")=0,"CLIENT NOT ACTIVE",IF(COUNTIF(Teams!$A$5:$A$104,D1025)=0,"TEAM NOT FOUND","OK")))))</x:f>
      </x:c>
    </x:row>
    <x:row r="1026">
      <x:c r="E1026" s="102"/>
      <x:c r="G1026" s="100" t="str">
        <x:f>IF(COUNTA(A1026:F1026)=0,"",IF(OR(A1026="",B1026="",C1026="",D1026=""),"COMPLETE ROW",IF(COUNTIF(Clients!$A$5:$A$404,C1026)=0,"CLIENT NOT FOUND",IF(COUNTIFS(Clients!$A$5:$A$404,C1026,Clients!$B$5:$B$404,"Active")=0,"CLIENT NOT ACTIVE",IF(COUNTIF(Teams!$A$5:$A$104,D1026)=0,"TEAM NOT FOUND","OK")))))</x:f>
      </x:c>
    </x:row>
    <x:row r="1027">
      <x:c r="E1027" s="102"/>
      <x:c r="G1027" s="100" t="str">
        <x:f>IF(COUNTA(A1027:F1027)=0,"",IF(OR(A1027="",B1027="",C1027="",D1027=""),"COMPLETE ROW",IF(COUNTIF(Clients!$A$5:$A$404,C1027)=0,"CLIENT NOT FOUND",IF(COUNTIFS(Clients!$A$5:$A$404,C1027,Clients!$B$5:$B$404,"Active")=0,"CLIENT NOT ACTIVE",IF(COUNTIF(Teams!$A$5:$A$104,D1027)=0,"TEAM NOT FOUND","OK")))))</x:f>
      </x:c>
    </x:row>
    <x:row r="1028">
      <x:c r="E1028" s="102"/>
      <x:c r="G1028" s="100" t="str">
        <x:f>IF(COUNTA(A1028:F1028)=0,"",IF(OR(A1028="",B1028="",C1028="",D1028=""),"COMPLETE ROW",IF(COUNTIF(Clients!$A$5:$A$404,C1028)=0,"CLIENT NOT FOUND",IF(COUNTIFS(Clients!$A$5:$A$404,C1028,Clients!$B$5:$B$404,"Active")=0,"CLIENT NOT ACTIVE",IF(COUNTIF(Teams!$A$5:$A$104,D1028)=0,"TEAM NOT FOUND","OK")))))</x:f>
      </x:c>
    </x:row>
    <x:row r="1029">
      <x:c r="E1029" s="102"/>
      <x:c r="G1029" s="100" t="str">
        <x:f>IF(COUNTA(A1029:F1029)=0,"",IF(OR(A1029="",B1029="",C1029="",D1029=""),"COMPLETE ROW",IF(COUNTIF(Clients!$A$5:$A$404,C1029)=0,"CLIENT NOT FOUND",IF(COUNTIFS(Clients!$A$5:$A$404,C1029,Clients!$B$5:$B$404,"Active")=0,"CLIENT NOT ACTIVE",IF(COUNTIF(Teams!$A$5:$A$104,D1029)=0,"TEAM NOT FOUND","OK")))))</x:f>
      </x:c>
    </x:row>
    <x:row r="1030">
      <x:c r="E1030" s="102"/>
      <x:c r="G1030" s="100" t="str">
        <x:f>IF(COUNTA(A1030:F1030)=0,"",IF(OR(A1030="",B1030="",C1030="",D1030=""),"COMPLETE ROW",IF(COUNTIF(Clients!$A$5:$A$404,C1030)=0,"CLIENT NOT FOUND",IF(COUNTIFS(Clients!$A$5:$A$404,C1030,Clients!$B$5:$B$404,"Active")=0,"CLIENT NOT ACTIVE",IF(COUNTIF(Teams!$A$5:$A$104,D1030)=0,"TEAM NOT FOUND","OK")))))</x:f>
      </x:c>
    </x:row>
    <x:row r="1031">
      <x:c r="E1031" s="102"/>
      <x:c r="G1031" s="100" t="str">
        <x:f>IF(COUNTA(A1031:F1031)=0,"",IF(OR(A1031="",B1031="",C1031="",D1031=""),"COMPLETE ROW",IF(COUNTIF(Clients!$A$5:$A$404,C1031)=0,"CLIENT NOT FOUND",IF(COUNTIFS(Clients!$A$5:$A$404,C1031,Clients!$B$5:$B$404,"Active")=0,"CLIENT NOT ACTIVE",IF(COUNTIF(Teams!$A$5:$A$104,D1031)=0,"TEAM NOT FOUND","OK")))))</x:f>
      </x:c>
    </x:row>
    <x:row r="1032">
      <x:c r="E1032" s="102"/>
      <x:c r="G1032" s="100" t="str">
        <x:f>IF(COUNTA(A1032:F1032)=0,"",IF(OR(A1032="",B1032="",C1032="",D1032=""),"COMPLETE ROW",IF(COUNTIF(Clients!$A$5:$A$404,C1032)=0,"CLIENT NOT FOUND",IF(COUNTIFS(Clients!$A$5:$A$404,C1032,Clients!$B$5:$B$404,"Active")=0,"CLIENT NOT ACTIVE",IF(COUNTIF(Teams!$A$5:$A$104,D1032)=0,"TEAM NOT FOUND","OK")))))</x:f>
      </x:c>
    </x:row>
    <x:row r="1033">
      <x:c r="E1033" s="102"/>
      <x:c r="G1033" s="100" t="str">
        <x:f>IF(COUNTA(A1033:F1033)=0,"",IF(OR(A1033="",B1033="",C1033="",D1033=""),"COMPLETE ROW",IF(COUNTIF(Clients!$A$5:$A$404,C1033)=0,"CLIENT NOT FOUND",IF(COUNTIFS(Clients!$A$5:$A$404,C1033,Clients!$B$5:$B$404,"Active")=0,"CLIENT NOT ACTIVE",IF(COUNTIF(Teams!$A$5:$A$104,D1033)=0,"TEAM NOT FOUND","OK")))))</x:f>
      </x:c>
    </x:row>
    <x:row r="1034">
      <x:c r="E1034" s="102"/>
      <x:c r="G1034" s="100" t="str">
        <x:f>IF(COUNTA(A1034:F1034)=0,"",IF(OR(A1034="",B1034="",C1034="",D1034=""),"COMPLETE ROW",IF(COUNTIF(Clients!$A$5:$A$404,C1034)=0,"CLIENT NOT FOUND",IF(COUNTIFS(Clients!$A$5:$A$404,C1034,Clients!$B$5:$B$404,"Active")=0,"CLIENT NOT ACTIVE",IF(COUNTIF(Teams!$A$5:$A$104,D1034)=0,"TEAM NOT FOUND","OK")))))</x:f>
      </x:c>
    </x:row>
    <x:row r="1035">
      <x:c r="E1035" s="102"/>
      <x:c r="G1035" s="100" t="str">
        <x:f>IF(COUNTA(A1035:F1035)=0,"",IF(OR(A1035="",B1035="",C1035="",D1035=""),"COMPLETE ROW",IF(COUNTIF(Clients!$A$5:$A$404,C1035)=0,"CLIENT NOT FOUND",IF(COUNTIFS(Clients!$A$5:$A$404,C1035,Clients!$B$5:$B$404,"Active")=0,"CLIENT NOT ACTIVE",IF(COUNTIF(Teams!$A$5:$A$104,D1035)=0,"TEAM NOT FOUND","OK")))))</x:f>
      </x:c>
    </x:row>
    <x:row r="1036">
      <x:c r="E1036" s="102"/>
      <x:c r="G1036" s="100" t="str">
        <x:f>IF(COUNTA(A1036:F1036)=0,"",IF(OR(A1036="",B1036="",C1036="",D1036=""),"COMPLETE ROW",IF(COUNTIF(Clients!$A$5:$A$404,C1036)=0,"CLIENT NOT FOUND",IF(COUNTIFS(Clients!$A$5:$A$404,C1036,Clients!$B$5:$B$404,"Active")=0,"CLIENT NOT ACTIVE",IF(COUNTIF(Teams!$A$5:$A$104,D1036)=0,"TEAM NOT FOUND","OK")))))</x:f>
      </x:c>
    </x:row>
    <x:row r="1037">
      <x:c r="E1037" s="102"/>
      <x:c r="G1037" s="100" t="str">
        <x:f>IF(COUNTA(A1037:F1037)=0,"",IF(OR(A1037="",B1037="",C1037="",D1037=""),"COMPLETE ROW",IF(COUNTIF(Clients!$A$5:$A$404,C1037)=0,"CLIENT NOT FOUND",IF(COUNTIFS(Clients!$A$5:$A$404,C1037,Clients!$B$5:$B$404,"Active")=0,"CLIENT NOT ACTIVE",IF(COUNTIF(Teams!$A$5:$A$104,D1037)=0,"TEAM NOT FOUND","OK")))))</x:f>
      </x:c>
    </x:row>
    <x:row r="1038">
      <x:c r="E1038" s="102"/>
      <x:c r="G1038" s="100" t="str">
        <x:f>IF(COUNTA(A1038:F1038)=0,"",IF(OR(A1038="",B1038="",C1038="",D1038=""),"COMPLETE ROW",IF(COUNTIF(Clients!$A$5:$A$404,C1038)=0,"CLIENT NOT FOUND",IF(COUNTIFS(Clients!$A$5:$A$404,C1038,Clients!$B$5:$B$404,"Active")=0,"CLIENT NOT ACTIVE",IF(COUNTIF(Teams!$A$5:$A$104,D1038)=0,"TEAM NOT FOUND","OK")))))</x:f>
      </x:c>
    </x:row>
    <x:row r="1039">
      <x:c r="E1039" s="102"/>
      <x:c r="G1039" s="100" t="str">
        <x:f>IF(COUNTA(A1039:F1039)=0,"",IF(OR(A1039="",B1039="",C1039="",D1039=""),"COMPLETE ROW",IF(COUNTIF(Clients!$A$5:$A$404,C1039)=0,"CLIENT NOT FOUND",IF(COUNTIFS(Clients!$A$5:$A$404,C1039,Clients!$B$5:$B$404,"Active")=0,"CLIENT NOT ACTIVE",IF(COUNTIF(Teams!$A$5:$A$104,D1039)=0,"TEAM NOT FOUND","OK")))))</x:f>
      </x:c>
    </x:row>
    <x:row r="1040">
      <x:c r="E1040" s="102"/>
      <x:c r="G1040" s="100" t="str">
        <x:f>IF(COUNTA(A1040:F1040)=0,"",IF(OR(A1040="",B1040="",C1040="",D1040=""),"COMPLETE ROW",IF(COUNTIF(Clients!$A$5:$A$404,C1040)=0,"CLIENT NOT FOUND",IF(COUNTIFS(Clients!$A$5:$A$404,C1040,Clients!$B$5:$B$404,"Active")=0,"CLIENT NOT ACTIVE",IF(COUNTIF(Teams!$A$5:$A$104,D1040)=0,"TEAM NOT FOUND","OK")))))</x:f>
      </x:c>
    </x:row>
    <x:row r="1041">
      <x:c r="E1041" s="102"/>
      <x:c r="G1041" s="100" t="str">
        <x:f>IF(COUNTA(A1041:F1041)=0,"",IF(OR(A1041="",B1041="",C1041="",D1041=""),"COMPLETE ROW",IF(COUNTIF(Clients!$A$5:$A$404,C1041)=0,"CLIENT NOT FOUND",IF(COUNTIFS(Clients!$A$5:$A$404,C1041,Clients!$B$5:$B$404,"Active")=0,"CLIENT NOT ACTIVE",IF(COUNTIF(Teams!$A$5:$A$104,D1041)=0,"TEAM NOT FOUND","OK")))))</x:f>
      </x:c>
    </x:row>
    <x:row r="1042">
      <x:c r="E1042" s="102"/>
      <x:c r="G1042" s="100" t="str">
        <x:f>IF(COUNTA(A1042:F1042)=0,"",IF(OR(A1042="",B1042="",C1042="",D1042=""),"COMPLETE ROW",IF(COUNTIF(Clients!$A$5:$A$404,C1042)=0,"CLIENT NOT FOUND",IF(COUNTIFS(Clients!$A$5:$A$404,C1042,Clients!$B$5:$B$404,"Active")=0,"CLIENT NOT ACTIVE",IF(COUNTIF(Teams!$A$5:$A$104,D1042)=0,"TEAM NOT FOUND","OK")))))</x:f>
      </x:c>
    </x:row>
    <x:row r="1043">
      <x:c r="E1043" s="102"/>
      <x:c r="G1043" s="100" t="str">
        <x:f>IF(COUNTA(A1043:F1043)=0,"",IF(OR(A1043="",B1043="",C1043="",D1043=""),"COMPLETE ROW",IF(COUNTIF(Clients!$A$5:$A$404,C1043)=0,"CLIENT NOT FOUND",IF(COUNTIFS(Clients!$A$5:$A$404,C1043,Clients!$B$5:$B$404,"Active")=0,"CLIENT NOT ACTIVE",IF(COUNTIF(Teams!$A$5:$A$104,D1043)=0,"TEAM NOT FOUND","OK")))))</x:f>
      </x:c>
    </x:row>
    <x:row r="1044">
      <x:c r="E1044" s="102"/>
      <x:c r="G1044" s="100" t="str">
        <x:f>IF(COUNTA(A1044:F1044)=0,"",IF(OR(A1044="",B1044="",C1044="",D1044=""),"COMPLETE ROW",IF(COUNTIF(Clients!$A$5:$A$404,C1044)=0,"CLIENT NOT FOUND",IF(COUNTIFS(Clients!$A$5:$A$404,C1044,Clients!$B$5:$B$404,"Active")=0,"CLIENT NOT ACTIVE",IF(COUNTIF(Teams!$A$5:$A$104,D1044)=0,"TEAM NOT FOUND","OK")))))</x:f>
      </x:c>
    </x:row>
    <x:row r="1045">
      <x:c r="E1045" s="102"/>
      <x:c r="G1045" s="100" t="str">
        <x:f>IF(COUNTA(A1045:F1045)=0,"",IF(OR(A1045="",B1045="",C1045="",D1045=""),"COMPLETE ROW",IF(COUNTIF(Clients!$A$5:$A$404,C1045)=0,"CLIENT NOT FOUND",IF(COUNTIFS(Clients!$A$5:$A$404,C1045,Clients!$B$5:$B$404,"Active")=0,"CLIENT NOT ACTIVE",IF(COUNTIF(Teams!$A$5:$A$104,D1045)=0,"TEAM NOT FOUND","OK")))))</x:f>
      </x:c>
    </x:row>
    <x:row r="1046">
      <x:c r="E1046" s="102"/>
      <x:c r="G1046" s="100" t="str">
        <x:f>IF(COUNTA(A1046:F1046)=0,"",IF(OR(A1046="",B1046="",C1046="",D1046=""),"COMPLETE ROW",IF(COUNTIF(Clients!$A$5:$A$404,C1046)=0,"CLIENT NOT FOUND",IF(COUNTIFS(Clients!$A$5:$A$404,C1046,Clients!$B$5:$B$404,"Active")=0,"CLIENT NOT ACTIVE",IF(COUNTIF(Teams!$A$5:$A$104,D1046)=0,"TEAM NOT FOUND","OK")))))</x:f>
      </x:c>
    </x:row>
    <x:row r="1047">
      <x:c r="E1047" s="102"/>
      <x:c r="G1047" s="100" t="str">
        <x:f>IF(COUNTA(A1047:F1047)=0,"",IF(OR(A1047="",B1047="",C1047="",D1047=""),"COMPLETE ROW",IF(COUNTIF(Clients!$A$5:$A$404,C1047)=0,"CLIENT NOT FOUND",IF(COUNTIFS(Clients!$A$5:$A$404,C1047,Clients!$B$5:$B$404,"Active")=0,"CLIENT NOT ACTIVE",IF(COUNTIF(Teams!$A$5:$A$104,D1047)=0,"TEAM NOT FOUND","OK")))))</x:f>
      </x:c>
    </x:row>
    <x:row r="1048">
      <x:c r="E1048" s="102"/>
      <x:c r="G1048" s="100" t="str">
        <x:f>IF(COUNTA(A1048:F1048)=0,"",IF(OR(A1048="",B1048="",C1048="",D1048=""),"COMPLETE ROW",IF(COUNTIF(Clients!$A$5:$A$404,C1048)=0,"CLIENT NOT FOUND",IF(COUNTIFS(Clients!$A$5:$A$404,C1048,Clients!$B$5:$B$404,"Active")=0,"CLIENT NOT ACTIVE",IF(COUNTIF(Teams!$A$5:$A$104,D1048)=0,"TEAM NOT FOUND","OK")))))</x:f>
      </x:c>
    </x:row>
    <x:row r="1049">
      <x:c r="E1049" s="102"/>
      <x:c r="G1049" s="100" t="str">
        <x:f>IF(COUNTA(A1049:F1049)=0,"",IF(OR(A1049="",B1049="",C1049="",D1049=""),"COMPLETE ROW",IF(COUNTIF(Clients!$A$5:$A$404,C1049)=0,"CLIENT NOT FOUND",IF(COUNTIFS(Clients!$A$5:$A$404,C1049,Clients!$B$5:$B$404,"Active")=0,"CLIENT NOT ACTIVE",IF(COUNTIF(Teams!$A$5:$A$104,D1049)=0,"TEAM NOT FOUND","OK")))))</x:f>
      </x:c>
    </x:row>
    <x:row r="1050">
      <x:c r="E1050" s="102"/>
      <x:c r="G1050" s="100" t="str">
        <x:f>IF(COUNTA(A1050:F1050)=0,"",IF(OR(A1050="",B1050="",C1050="",D1050=""),"COMPLETE ROW",IF(COUNTIF(Clients!$A$5:$A$404,C1050)=0,"CLIENT NOT FOUND",IF(COUNTIFS(Clients!$A$5:$A$404,C1050,Clients!$B$5:$B$404,"Active")=0,"CLIENT NOT ACTIVE",IF(COUNTIF(Teams!$A$5:$A$104,D1050)=0,"TEAM NOT FOUND","OK")))))</x:f>
      </x:c>
    </x:row>
    <x:row r="1051">
      <x:c r="E1051" s="102"/>
      <x:c r="G1051" s="100" t="str">
        <x:f>IF(COUNTA(A1051:F1051)=0,"",IF(OR(A1051="",B1051="",C1051="",D1051=""),"COMPLETE ROW",IF(COUNTIF(Clients!$A$5:$A$404,C1051)=0,"CLIENT NOT FOUND",IF(COUNTIFS(Clients!$A$5:$A$404,C1051,Clients!$B$5:$B$404,"Active")=0,"CLIENT NOT ACTIVE",IF(COUNTIF(Teams!$A$5:$A$104,D1051)=0,"TEAM NOT FOUND","OK")))))</x:f>
      </x:c>
    </x:row>
    <x:row r="1052">
      <x:c r="E1052" s="102"/>
      <x:c r="G1052" s="100" t="str">
        <x:f>IF(COUNTA(A1052:F1052)=0,"",IF(OR(A1052="",B1052="",C1052="",D1052=""),"COMPLETE ROW",IF(COUNTIF(Clients!$A$5:$A$404,C1052)=0,"CLIENT NOT FOUND",IF(COUNTIFS(Clients!$A$5:$A$404,C1052,Clients!$B$5:$B$404,"Active")=0,"CLIENT NOT ACTIVE",IF(COUNTIF(Teams!$A$5:$A$104,D1052)=0,"TEAM NOT FOUND","OK")))))</x:f>
      </x:c>
    </x:row>
    <x:row r="1053">
      <x:c r="E1053" s="102"/>
      <x:c r="G1053" s="100" t="str">
        <x:f>IF(COUNTA(A1053:F1053)=0,"",IF(OR(A1053="",B1053="",C1053="",D1053=""),"COMPLETE ROW",IF(COUNTIF(Clients!$A$5:$A$404,C1053)=0,"CLIENT NOT FOUND",IF(COUNTIFS(Clients!$A$5:$A$404,C1053,Clients!$B$5:$B$404,"Active")=0,"CLIENT NOT ACTIVE",IF(COUNTIF(Teams!$A$5:$A$104,D1053)=0,"TEAM NOT FOUND","OK")))))</x:f>
      </x:c>
    </x:row>
    <x:row r="1054">
      <x:c r="E1054" s="102"/>
      <x:c r="G1054" s="100" t="str">
        <x:f>IF(COUNTA(A1054:F1054)=0,"",IF(OR(A1054="",B1054="",C1054="",D1054=""),"COMPLETE ROW",IF(COUNTIF(Clients!$A$5:$A$404,C1054)=0,"CLIENT NOT FOUND",IF(COUNTIFS(Clients!$A$5:$A$404,C1054,Clients!$B$5:$B$404,"Active")=0,"CLIENT NOT ACTIVE",IF(COUNTIF(Teams!$A$5:$A$104,D1054)=0,"TEAM NOT FOUND","OK")))))</x:f>
      </x:c>
    </x:row>
    <x:row r="1055">
      <x:c r="E1055" s="102"/>
      <x:c r="G1055" s="100" t="str">
        <x:f>IF(COUNTA(A1055:F1055)=0,"",IF(OR(A1055="",B1055="",C1055="",D1055=""),"COMPLETE ROW",IF(COUNTIF(Clients!$A$5:$A$404,C1055)=0,"CLIENT NOT FOUND",IF(COUNTIFS(Clients!$A$5:$A$404,C1055,Clients!$B$5:$B$404,"Active")=0,"CLIENT NOT ACTIVE",IF(COUNTIF(Teams!$A$5:$A$104,D1055)=0,"TEAM NOT FOUND","OK")))))</x:f>
      </x:c>
    </x:row>
    <x:row r="1056">
      <x:c r="E1056" s="102"/>
      <x:c r="G1056" s="100" t="str">
        <x:f>IF(COUNTA(A1056:F1056)=0,"",IF(OR(A1056="",B1056="",C1056="",D1056=""),"COMPLETE ROW",IF(COUNTIF(Clients!$A$5:$A$404,C1056)=0,"CLIENT NOT FOUND",IF(COUNTIFS(Clients!$A$5:$A$404,C1056,Clients!$B$5:$B$404,"Active")=0,"CLIENT NOT ACTIVE",IF(COUNTIF(Teams!$A$5:$A$104,D1056)=0,"TEAM NOT FOUND","OK")))))</x:f>
      </x:c>
    </x:row>
    <x:row r="1057">
      <x:c r="E1057" s="102"/>
      <x:c r="G1057" s="100" t="str">
        <x:f>IF(COUNTA(A1057:F1057)=0,"",IF(OR(A1057="",B1057="",C1057="",D1057=""),"COMPLETE ROW",IF(COUNTIF(Clients!$A$5:$A$404,C1057)=0,"CLIENT NOT FOUND",IF(COUNTIFS(Clients!$A$5:$A$404,C1057,Clients!$B$5:$B$404,"Active")=0,"CLIENT NOT ACTIVE",IF(COUNTIF(Teams!$A$5:$A$104,D1057)=0,"TEAM NOT FOUND","OK")))))</x:f>
      </x:c>
    </x:row>
    <x:row r="1058">
      <x:c r="E1058" s="102"/>
      <x:c r="G1058" s="100" t="str">
        <x:f>IF(COUNTA(A1058:F1058)=0,"",IF(OR(A1058="",B1058="",C1058="",D1058=""),"COMPLETE ROW",IF(COUNTIF(Clients!$A$5:$A$404,C1058)=0,"CLIENT NOT FOUND",IF(COUNTIFS(Clients!$A$5:$A$404,C1058,Clients!$B$5:$B$404,"Active")=0,"CLIENT NOT ACTIVE",IF(COUNTIF(Teams!$A$5:$A$104,D1058)=0,"TEAM NOT FOUND","OK")))))</x:f>
      </x:c>
    </x:row>
    <x:row r="1059">
      <x:c r="E1059" s="102"/>
      <x:c r="G1059" s="100" t="str">
        <x:f>IF(COUNTA(A1059:F1059)=0,"",IF(OR(A1059="",B1059="",C1059="",D1059=""),"COMPLETE ROW",IF(COUNTIF(Clients!$A$5:$A$404,C1059)=0,"CLIENT NOT FOUND",IF(COUNTIFS(Clients!$A$5:$A$404,C1059,Clients!$B$5:$B$404,"Active")=0,"CLIENT NOT ACTIVE",IF(COUNTIF(Teams!$A$5:$A$104,D1059)=0,"TEAM NOT FOUND","OK")))))</x:f>
      </x:c>
    </x:row>
    <x:row r="1060">
      <x:c r="E1060" s="102"/>
      <x:c r="G1060" s="100" t="str">
        <x:f>IF(COUNTA(A1060:F1060)=0,"",IF(OR(A1060="",B1060="",C1060="",D1060=""),"COMPLETE ROW",IF(COUNTIF(Clients!$A$5:$A$404,C1060)=0,"CLIENT NOT FOUND",IF(COUNTIFS(Clients!$A$5:$A$404,C1060,Clients!$B$5:$B$404,"Active")=0,"CLIENT NOT ACTIVE",IF(COUNTIF(Teams!$A$5:$A$104,D1060)=0,"TEAM NOT FOUND","OK")))))</x:f>
      </x:c>
    </x:row>
    <x:row r="1061">
      <x:c r="E1061" s="102"/>
      <x:c r="G1061" s="100" t="str">
        <x:f>IF(COUNTA(A1061:F1061)=0,"",IF(OR(A1061="",B1061="",C1061="",D1061=""),"COMPLETE ROW",IF(COUNTIF(Clients!$A$5:$A$404,C1061)=0,"CLIENT NOT FOUND",IF(COUNTIFS(Clients!$A$5:$A$404,C1061,Clients!$B$5:$B$404,"Active")=0,"CLIENT NOT ACTIVE",IF(COUNTIF(Teams!$A$5:$A$104,D1061)=0,"TEAM NOT FOUND","OK")))))</x:f>
      </x:c>
    </x:row>
    <x:row r="1062">
      <x:c r="E1062" s="102"/>
      <x:c r="G1062" s="100" t="str">
        <x:f>IF(COUNTA(A1062:F1062)=0,"",IF(OR(A1062="",B1062="",C1062="",D1062=""),"COMPLETE ROW",IF(COUNTIF(Clients!$A$5:$A$404,C1062)=0,"CLIENT NOT FOUND",IF(COUNTIFS(Clients!$A$5:$A$404,C1062,Clients!$B$5:$B$404,"Active")=0,"CLIENT NOT ACTIVE",IF(COUNTIF(Teams!$A$5:$A$104,D1062)=0,"TEAM NOT FOUND","OK")))))</x:f>
      </x:c>
    </x:row>
    <x:row r="1063">
      <x:c r="E1063" s="102"/>
      <x:c r="G1063" s="100" t="str">
        <x:f>IF(COUNTA(A1063:F1063)=0,"",IF(OR(A1063="",B1063="",C1063="",D1063=""),"COMPLETE ROW",IF(COUNTIF(Clients!$A$5:$A$404,C1063)=0,"CLIENT NOT FOUND",IF(COUNTIFS(Clients!$A$5:$A$404,C1063,Clients!$B$5:$B$404,"Active")=0,"CLIENT NOT ACTIVE",IF(COUNTIF(Teams!$A$5:$A$104,D1063)=0,"TEAM NOT FOUND","OK")))))</x:f>
      </x:c>
    </x:row>
    <x:row r="1064">
      <x:c r="E1064" s="102"/>
      <x:c r="G1064" s="100" t="str">
        <x:f>IF(COUNTA(A1064:F1064)=0,"",IF(OR(A1064="",B1064="",C1064="",D1064=""),"COMPLETE ROW",IF(COUNTIF(Clients!$A$5:$A$404,C1064)=0,"CLIENT NOT FOUND",IF(COUNTIFS(Clients!$A$5:$A$404,C1064,Clients!$B$5:$B$404,"Active")=0,"CLIENT NOT ACTIVE",IF(COUNTIF(Teams!$A$5:$A$104,D1064)=0,"TEAM NOT FOUND","OK")))))</x:f>
      </x:c>
    </x:row>
    <x:row r="1065">
      <x:c r="E1065" s="102"/>
      <x:c r="G1065" s="100" t="str">
        <x:f>IF(COUNTA(A1065:F1065)=0,"",IF(OR(A1065="",B1065="",C1065="",D1065=""),"COMPLETE ROW",IF(COUNTIF(Clients!$A$5:$A$404,C1065)=0,"CLIENT NOT FOUND",IF(COUNTIFS(Clients!$A$5:$A$404,C1065,Clients!$B$5:$B$404,"Active")=0,"CLIENT NOT ACTIVE",IF(COUNTIF(Teams!$A$5:$A$104,D1065)=0,"TEAM NOT FOUND","OK")))))</x:f>
      </x:c>
    </x:row>
    <x:row r="1066">
      <x:c r="E1066" s="102"/>
      <x:c r="G1066" s="100" t="str">
        <x:f>IF(COUNTA(A1066:F1066)=0,"",IF(OR(A1066="",B1066="",C1066="",D1066=""),"COMPLETE ROW",IF(COUNTIF(Clients!$A$5:$A$404,C1066)=0,"CLIENT NOT FOUND",IF(COUNTIFS(Clients!$A$5:$A$404,C1066,Clients!$B$5:$B$404,"Active")=0,"CLIENT NOT ACTIVE",IF(COUNTIF(Teams!$A$5:$A$104,D1066)=0,"TEAM NOT FOUND","OK")))))</x:f>
      </x:c>
    </x:row>
    <x:row r="1067">
      <x:c r="E1067" s="102"/>
      <x:c r="G1067" s="100" t="str">
        <x:f>IF(COUNTA(A1067:F1067)=0,"",IF(OR(A1067="",B1067="",C1067="",D1067=""),"COMPLETE ROW",IF(COUNTIF(Clients!$A$5:$A$404,C1067)=0,"CLIENT NOT FOUND",IF(COUNTIFS(Clients!$A$5:$A$404,C1067,Clients!$B$5:$B$404,"Active")=0,"CLIENT NOT ACTIVE",IF(COUNTIF(Teams!$A$5:$A$104,D1067)=0,"TEAM NOT FOUND","OK")))))</x:f>
      </x:c>
    </x:row>
    <x:row r="1068">
      <x:c r="E1068" s="102"/>
      <x:c r="G1068" s="100" t="str">
        <x:f>IF(COUNTA(A1068:F1068)=0,"",IF(OR(A1068="",B1068="",C1068="",D1068=""),"COMPLETE ROW",IF(COUNTIF(Clients!$A$5:$A$404,C1068)=0,"CLIENT NOT FOUND",IF(COUNTIFS(Clients!$A$5:$A$404,C1068,Clients!$B$5:$B$404,"Active")=0,"CLIENT NOT ACTIVE",IF(COUNTIF(Teams!$A$5:$A$104,D1068)=0,"TEAM NOT FOUND","OK")))))</x:f>
      </x:c>
    </x:row>
    <x:row r="1069">
      <x:c r="E1069" s="102"/>
      <x:c r="G1069" s="100" t="str">
        <x:f>IF(COUNTA(A1069:F1069)=0,"",IF(OR(A1069="",B1069="",C1069="",D1069=""),"COMPLETE ROW",IF(COUNTIF(Clients!$A$5:$A$404,C1069)=0,"CLIENT NOT FOUND",IF(COUNTIFS(Clients!$A$5:$A$404,C1069,Clients!$B$5:$B$404,"Active")=0,"CLIENT NOT ACTIVE",IF(COUNTIF(Teams!$A$5:$A$104,D1069)=0,"TEAM NOT FOUND","OK")))))</x:f>
      </x:c>
    </x:row>
    <x:row r="1070">
      <x:c r="E1070" s="102"/>
      <x:c r="G1070" s="100" t="str">
        <x:f>IF(COUNTA(A1070:F1070)=0,"",IF(OR(A1070="",B1070="",C1070="",D1070=""),"COMPLETE ROW",IF(COUNTIF(Clients!$A$5:$A$404,C1070)=0,"CLIENT NOT FOUND",IF(COUNTIFS(Clients!$A$5:$A$404,C1070,Clients!$B$5:$B$404,"Active")=0,"CLIENT NOT ACTIVE",IF(COUNTIF(Teams!$A$5:$A$104,D1070)=0,"TEAM NOT FOUND","OK")))))</x:f>
      </x:c>
    </x:row>
    <x:row r="1071">
      <x:c r="E1071" s="102"/>
      <x:c r="G1071" s="100" t="str">
        <x:f>IF(COUNTA(A1071:F1071)=0,"",IF(OR(A1071="",B1071="",C1071="",D1071=""),"COMPLETE ROW",IF(COUNTIF(Clients!$A$5:$A$404,C1071)=0,"CLIENT NOT FOUND",IF(COUNTIFS(Clients!$A$5:$A$404,C1071,Clients!$B$5:$B$404,"Active")=0,"CLIENT NOT ACTIVE",IF(COUNTIF(Teams!$A$5:$A$104,D1071)=0,"TEAM NOT FOUND","OK")))))</x:f>
      </x:c>
    </x:row>
    <x:row r="1072">
      <x:c r="E1072" s="102"/>
      <x:c r="G1072" s="100" t="str">
        <x:f>IF(COUNTA(A1072:F1072)=0,"",IF(OR(A1072="",B1072="",C1072="",D1072=""),"COMPLETE ROW",IF(COUNTIF(Clients!$A$5:$A$404,C1072)=0,"CLIENT NOT FOUND",IF(COUNTIFS(Clients!$A$5:$A$404,C1072,Clients!$B$5:$B$404,"Active")=0,"CLIENT NOT ACTIVE",IF(COUNTIF(Teams!$A$5:$A$104,D1072)=0,"TEAM NOT FOUND","OK")))))</x:f>
      </x:c>
    </x:row>
    <x:row r="1073">
      <x:c r="E1073" s="102"/>
      <x:c r="G1073" s="100" t="str">
        <x:f>IF(COUNTA(A1073:F1073)=0,"",IF(OR(A1073="",B1073="",C1073="",D1073=""),"COMPLETE ROW",IF(COUNTIF(Clients!$A$5:$A$404,C1073)=0,"CLIENT NOT FOUND",IF(COUNTIFS(Clients!$A$5:$A$404,C1073,Clients!$B$5:$B$404,"Active")=0,"CLIENT NOT ACTIVE",IF(COUNTIF(Teams!$A$5:$A$104,D1073)=0,"TEAM NOT FOUND","OK")))))</x:f>
      </x:c>
    </x:row>
    <x:row r="1074">
      <x:c r="E1074" s="102"/>
      <x:c r="G1074" s="100" t="str">
        <x:f>IF(COUNTA(A1074:F1074)=0,"",IF(OR(A1074="",B1074="",C1074="",D1074=""),"COMPLETE ROW",IF(COUNTIF(Clients!$A$5:$A$404,C1074)=0,"CLIENT NOT FOUND",IF(COUNTIFS(Clients!$A$5:$A$404,C1074,Clients!$B$5:$B$404,"Active")=0,"CLIENT NOT ACTIVE",IF(COUNTIF(Teams!$A$5:$A$104,D1074)=0,"TEAM NOT FOUND","OK")))))</x:f>
      </x:c>
    </x:row>
    <x:row r="1075">
      <x:c r="E1075" s="102"/>
      <x:c r="G1075" s="100" t="str">
        <x:f>IF(COUNTA(A1075:F1075)=0,"",IF(OR(A1075="",B1075="",C1075="",D1075=""),"COMPLETE ROW",IF(COUNTIF(Clients!$A$5:$A$404,C1075)=0,"CLIENT NOT FOUND",IF(COUNTIFS(Clients!$A$5:$A$404,C1075,Clients!$B$5:$B$404,"Active")=0,"CLIENT NOT ACTIVE",IF(COUNTIF(Teams!$A$5:$A$104,D1075)=0,"TEAM NOT FOUND","OK")))))</x:f>
      </x:c>
    </x:row>
    <x:row r="1076">
      <x:c r="E1076" s="102"/>
      <x:c r="G1076" s="100" t="str">
        <x:f>IF(COUNTA(A1076:F1076)=0,"",IF(OR(A1076="",B1076="",C1076="",D1076=""),"COMPLETE ROW",IF(COUNTIF(Clients!$A$5:$A$404,C1076)=0,"CLIENT NOT FOUND",IF(COUNTIFS(Clients!$A$5:$A$404,C1076,Clients!$B$5:$B$404,"Active")=0,"CLIENT NOT ACTIVE",IF(COUNTIF(Teams!$A$5:$A$104,D1076)=0,"TEAM NOT FOUND","OK")))))</x:f>
      </x:c>
    </x:row>
    <x:row r="1077">
      <x:c r="E1077" s="102"/>
      <x:c r="G1077" s="100" t="str">
        <x:f>IF(COUNTA(A1077:F1077)=0,"",IF(OR(A1077="",B1077="",C1077="",D1077=""),"COMPLETE ROW",IF(COUNTIF(Clients!$A$5:$A$404,C1077)=0,"CLIENT NOT FOUND",IF(COUNTIFS(Clients!$A$5:$A$404,C1077,Clients!$B$5:$B$404,"Active")=0,"CLIENT NOT ACTIVE",IF(COUNTIF(Teams!$A$5:$A$104,D1077)=0,"TEAM NOT FOUND","OK")))))</x:f>
      </x:c>
    </x:row>
    <x:row r="1078">
      <x:c r="E1078" s="102"/>
      <x:c r="G1078" s="100" t="str">
        <x:f>IF(COUNTA(A1078:F1078)=0,"",IF(OR(A1078="",B1078="",C1078="",D1078=""),"COMPLETE ROW",IF(COUNTIF(Clients!$A$5:$A$404,C1078)=0,"CLIENT NOT FOUND",IF(COUNTIFS(Clients!$A$5:$A$404,C1078,Clients!$B$5:$B$404,"Active")=0,"CLIENT NOT ACTIVE",IF(COUNTIF(Teams!$A$5:$A$104,D1078)=0,"TEAM NOT FOUND","OK")))))</x:f>
      </x:c>
    </x:row>
    <x:row r="1079">
      <x:c r="E1079" s="102"/>
      <x:c r="G1079" s="100" t="str">
        <x:f>IF(COUNTA(A1079:F1079)=0,"",IF(OR(A1079="",B1079="",C1079="",D1079=""),"COMPLETE ROW",IF(COUNTIF(Clients!$A$5:$A$404,C1079)=0,"CLIENT NOT FOUND",IF(COUNTIFS(Clients!$A$5:$A$404,C1079,Clients!$B$5:$B$404,"Active")=0,"CLIENT NOT ACTIVE",IF(COUNTIF(Teams!$A$5:$A$104,D1079)=0,"TEAM NOT FOUND","OK")))))</x:f>
      </x:c>
    </x:row>
    <x:row r="1080">
      <x:c r="E1080" s="102"/>
      <x:c r="G1080" s="100" t="str">
        <x:f>IF(COUNTA(A1080:F1080)=0,"",IF(OR(A1080="",B1080="",C1080="",D1080=""),"COMPLETE ROW",IF(COUNTIF(Clients!$A$5:$A$404,C1080)=0,"CLIENT NOT FOUND",IF(COUNTIFS(Clients!$A$5:$A$404,C1080,Clients!$B$5:$B$404,"Active")=0,"CLIENT NOT ACTIVE",IF(COUNTIF(Teams!$A$5:$A$104,D1080)=0,"TEAM NOT FOUND","OK")))))</x:f>
      </x:c>
    </x:row>
    <x:row r="1081">
      <x:c r="E1081" s="102"/>
      <x:c r="G1081" s="100" t="str">
        <x:f>IF(COUNTA(A1081:F1081)=0,"",IF(OR(A1081="",B1081="",C1081="",D1081=""),"COMPLETE ROW",IF(COUNTIF(Clients!$A$5:$A$404,C1081)=0,"CLIENT NOT FOUND",IF(COUNTIFS(Clients!$A$5:$A$404,C1081,Clients!$B$5:$B$404,"Active")=0,"CLIENT NOT ACTIVE",IF(COUNTIF(Teams!$A$5:$A$104,D1081)=0,"TEAM NOT FOUND","OK")))))</x:f>
      </x:c>
    </x:row>
    <x:row r="1082">
      <x:c r="E1082" s="102"/>
      <x:c r="G1082" s="100" t="str">
        <x:f>IF(COUNTA(A1082:F1082)=0,"",IF(OR(A1082="",B1082="",C1082="",D1082=""),"COMPLETE ROW",IF(COUNTIF(Clients!$A$5:$A$404,C1082)=0,"CLIENT NOT FOUND",IF(COUNTIFS(Clients!$A$5:$A$404,C1082,Clients!$B$5:$B$404,"Active")=0,"CLIENT NOT ACTIVE",IF(COUNTIF(Teams!$A$5:$A$104,D1082)=0,"TEAM NOT FOUND","OK")))))</x:f>
      </x:c>
    </x:row>
    <x:row r="1083">
      <x:c r="E1083" s="102"/>
      <x:c r="G1083" s="100" t="str">
        <x:f>IF(COUNTA(A1083:F1083)=0,"",IF(OR(A1083="",B1083="",C1083="",D1083=""),"COMPLETE ROW",IF(COUNTIF(Clients!$A$5:$A$404,C1083)=0,"CLIENT NOT FOUND",IF(COUNTIFS(Clients!$A$5:$A$404,C1083,Clients!$B$5:$B$404,"Active")=0,"CLIENT NOT ACTIVE",IF(COUNTIF(Teams!$A$5:$A$104,D1083)=0,"TEAM NOT FOUND","OK")))))</x:f>
      </x:c>
    </x:row>
    <x:row r="1084">
      <x:c r="E1084" s="102"/>
      <x:c r="G1084" s="100" t="str">
        <x:f>IF(COUNTA(A1084:F1084)=0,"",IF(OR(A1084="",B1084="",C1084="",D1084=""),"COMPLETE ROW",IF(COUNTIF(Clients!$A$5:$A$404,C1084)=0,"CLIENT NOT FOUND",IF(COUNTIFS(Clients!$A$5:$A$404,C1084,Clients!$B$5:$B$404,"Active")=0,"CLIENT NOT ACTIVE",IF(COUNTIF(Teams!$A$5:$A$104,D1084)=0,"TEAM NOT FOUND","OK")))))</x:f>
      </x:c>
    </x:row>
    <x:row r="1085">
      <x:c r="E1085" s="102"/>
      <x:c r="G1085" s="100" t="str">
        <x:f>IF(COUNTA(A1085:F1085)=0,"",IF(OR(A1085="",B1085="",C1085="",D1085=""),"COMPLETE ROW",IF(COUNTIF(Clients!$A$5:$A$404,C1085)=0,"CLIENT NOT FOUND",IF(COUNTIFS(Clients!$A$5:$A$404,C1085,Clients!$B$5:$B$404,"Active")=0,"CLIENT NOT ACTIVE",IF(COUNTIF(Teams!$A$5:$A$104,D1085)=0,"TEAM NOT FOUND","OK")))))</x:f>
      </x:c>
    </x:row>
    <x:row r="1086">
      <x:c r="E1086" s="102"/>
      <x:c r="G1086" s="100" t="str">
        <x:f>IF(COUNTA(A1086:F1086)=0,"",IF(OR(A1086="",B1086="",C1086="",D1086=""),"COMPLETE ROW",IF(COUNTIF(Clients!$A$5:$A$404,C1086)=0,"CLIENT NOT FOUND",IF(COUNTIFS(Clients!$A$5:$A$404,C1086,Clients!$B$5:$B$404,"Active")=0,"CLIENT NOT ACTIVE",IF(COUNTIF(Teams!$A$5:$A$104,D1086)=0,"TEAM NOT FOUND","OK")))))</x:f>
      </x:c>
    </x:row>
    <x:row r="1087">
      <x:c r="E1087" s="102"/>
      <x:c r="G1087" s="100" t="str">
        <x:f>IF(COUNTA(A1087:F1087)=0,"",IF(OR(A1087="",B1087="",C1087="",D1087=""),"COMPLETE ROW",IF(COUNTIF(Clients!$A$5:$A$404,C1087)=0,"CLIENT NOT FOUND",IF(COUNTIFS(Clients!$A$5:$A$404,C1087,Clients!$B$5:$B$404,"Active")=0,"CLIENT NOT ACTIVE",IF(COUNTIF(Teams!$A$5:$A$104,D1087)=0,"TEAM NOT FOUND","OK")))))</x:f>
      </x:c>
    </x:row>
    <x:row r="1088">
      <x:c r="E1088" s="102"/>
      <x:c r="G1088" s="100" t="str">
        <x:f>IF(COUNTA(A1088:F1088)=0,"",IF(OR(A1088="",B1088="",C1088="",D1088=""),"COMPLETE ROW",IF(COUNTIF(Clients!$A$5:$A$404,C1088)=0,"CLIENT NOT FOUND",IF(COUNTIFS(Clients!$A$5:$A$404,C1088,Clients!$B$5:$B$404,"Active")=0,"CLIENT NOT ACTIVE",IF(COUNTIF(Teams!$A$5:$A$104,D1088)=0,"TEAM NOT FOUND","OK")))))</x:f>
      </x:c>
    </x:row>
    <x:row r="1089">
      <x:c r="E1089" s="102"/>
      <x:c r="G1089" s="100" t="str">
        <x:f>IF(COUNTA(A1089:F1089)=0,"",IF(OR(A1089="",B1089="",C1089="",D1089=""),"COMPLETE ROW",IF(COUNTIF(Clients!$A$5:$A$404,C1089)=0,"CLIENT NOT FOUND",IF(COUNTIFS(Clients!$A$5:$A$404,C1089,Clients!$B$5:$B$404,"Active")=0,"CLIENT NOT ACTIVE",IF(COUNTIF(Teams!$A$5:$A$104,D1089)=0,"TEAM NOT FOUND","OK")))))</x:f>
      </x:c>
    </x:row>
    <x:row r="1090">
      <x:c r="E1090" s="102"/>
      <x:c r="G1090" s="100" t="str">
        <x:f>IF(COUNTA(A1090:F1090)=0,"",IF(OR(A1090="",B1090="",C1090="",D1090=""),"COMPLETE ROW",IF(COUNTIF(Clients!$A$5:$A$404,C1090)=0,"CLIENT NOT FOUND",IF(COUNTIFS(Clients!$A$5:$A$404,C1090,Clients!$B$5:$B$404,"Active")=0,"CLIENT NOT ACTIVE",IF(COUNTIF(Teams!$A$5:$A$104,D1090)=0,"TEAM NOT FOUND","OK")))))</x:f>
      </x:c>
    </x:row>
    <x:row r="1091">
      <x:c r="E1091" s="102"/>
      <x:c r="G1091" s="100" t="str">
        <x:f>IF(COUNTA(A1091:F1091)=0,"",IF(OR(A1091="",B1091="",C1091="",D1091=""),"COMPLETE ROW",IF(COUNTIF(Clients!$A$5:$A$404,C1091)=0,"CLIENT NOT FOUND",IF(COUNTIFS(Clients!$A$5:$A$404,C1091,Clients!$B$5:$B$404,"Active")=0,"CLIENT NOT ACTIVE",IF(COUNTIF(Teams!$A$5:$A$104,D1091)=0,"TEAM NOT FOUND","OK")))))</x:f>
      </x:c>
    </x:row>
    <x:row r="1092">
      <x:c r="E1092" s="102"/>
      <x:c r="G1092" s="100" t="str">
        <x:f>IF(COUNTA(A1092:F1092)=0,"",IF(OR(A1092="",B1092="",C1092="",D1092=""),"COMPLETE ROW",IF(COUNTIF(Clients!$A$5:$A$404,C1092)=0,"CLIENT NOT FOUND",IF(COUNTIFS(Clients!$A$5:$A$404,C1092,Clients!$B$5:$B$404,"Active")=0,"CLIENT NOT ACTIVE",IF(COUNTIF(Teams!$A$5:$A$104,D1092)=0,"TEAM NOT FOUND","OK")))))</x:f>
      </x:c>
    </x:row>
    <x:row r="1093">
      <x:c r="E1093" s="102"/>
      <x:c r="G1093" s="100" t="str">
        <x:f>IF(COUNTA(A1093:F1093)=0,"",IF(OR(A1093="",B1093="",C1093="",D1093=""),"COMPLETE ROW",IF(COUNTIF(Clients!$A$5:$A$404,C1093)=0,"CLIENT NOT FOUND",IF(COUNTIFS(Clients!$A$5:$A$404,C1093,Clients!$B$5:$B$404,"Active")=0,"CLIENT NOT ACTIVE",IF(COUNTIF(Teams!$A$5:$A$104,D1093)=0,"TEAM NOT FOUND","OK")))))</x:f>
      </x:c>
    </x:row>
    <x:row r="1094">
      <x:c r="E1094" s="102"/>
      <x:c r="G1094" s="100" t="str">
        <x:f>IF(COUNTA(A1094:F1094)=0,"",IF(OR(A1094="",B1094="",C1094="",D1094=""),"COMPLETE ROW",IF(COUNTIF(Clients!$A$5:$A$404,C1094)=0,"CLIENT NOT FOUND",IF(COUNTIFS(Clients!$A$5:$A$404,C1094,Clients!$B$5:$B$404,"Active")=0,"CLIENT NOT ACTIVE",IF(COUNTIF(Teams!$A$5:$A$104,D1094)=0,"TEAM NOT FOUND","OK")))))</x:f>
      </x:c>
    </x:row>
    <x:row r="1095">
      <x:c r="E1095" s="102"/>
      <x:c r="G1095" s="100" t="str">
        <x:f>IF(COUNTA(A1095:F1095)=0,"",IF(OR(A1095="",B1095="",C1095="",D1095=""),"COMPLETE ROW",IF(COUNTIF(Clients!$A$5:$A$404,C1095)=0,"CLIENT NOT FOUND",IF(COUNTIFS(Clients!$A$5:$A$404,C1095,Clients!$B$5:$B$404,"Active")=0,"CLIENT NOT ACTIVE",IF(COUNTIF(Teams!$A$5:$A$104,D1095)=0,"TEAM NOT FOUND","OK")))))</x:f>
      </x:c>
    </x:row>
    <x:row r="1096">
      <x:c r="E1096" s="102"/>
      <x:c r="G1096" s="100" t="str">
        <x:f>IF(COUNTA(A1096:F1096)=0,"",IF(OR(A1096="",B1096="",C1096="",D1096=""),"COMPLETE ROW",IF(COUNTIF(Clients!$A$5:$A$404,C1096)=0,"CLIENT NOT FOUND",IF(COUNTIFS(Clients!$A$5:$A$404,C1096,Clients!$B$5:$B$404,"Active")=0,"CLIENT NOT ACTIVE",IF(COUNTIF(Teams!$A$5:$A$104,D1096)=0,"TEAM NOT FOUND","OK")))))</x:f>
      </x:c>
    </x:row>
    <x:row r="1097">
      <x:c r="E1097" s="102"/>
      <x:c r="G1097" s="100" t="str">
        <x:f>IF(COUNTA(A1097:F1097)=0,"",IF(OR(A1097="",B1097="",C1097="",D1097=""),"COMPLETE ROW",IF(COUNTIF(Clients!$A$5:$A$404,C1097)=0,"CLIENT NOT FOUND",IF(COUNTIFS(Clients!$A$5:$A$404,C1097,Clients!$B$5:$B$404,"Active")=0,"CLIENT NOT ACTIVE",IF(COUNTIF(Teams!$A$5:$A$104,D1097)=0,"TEAM NOT FOUND","OK")))))</x:f>
      </x:c>
    </x:row>
    <x:row r="1098">
      <x:c r="E1098" s="102"/>
      <x:c r="G1098" s="100" t="str">
        <x:f>IF(COUNTA(A1098:F1098)=0,"",IF(OR(A1098="",B1098="",C1098="",D1098=""),"COMPLETE ROW",IF(COUNTIF(Clients!$A$5:$A$404,C1098)=0,"CLIENT NOT FOUND",IF(COUNTIFS(Clients!$A$5:$A$404,C1098,Clients!$B$5:$B$404,"Active")=0,"CLIENT NOT ACTIVE",IF(COUNTIF(Teams!$A$5:$A$104,D1098)=0,"TEAM NOT FOUND","OK")))))</x:f>
      </x:c>
    </x:row>
    <x:row r="1099">
      <x:c r="E1099" s="102"/>
      <x:c r="G1099" s="100" t="str">
        <x:f>IF(COUNTA(A1099:F1099)=0,"",IF(OR(A1099="",B1099="",C1099="",D1099=""),"COMPLETE ROW",IF(COUNTIF(Clients!$A$5:$A$404,C1099)=0,"CLIENT NOT FOUND",IF(COUNTIFS(Clients!$A$5:$A$404,C1099,Clients!$B$5:$B$404,"Active")=0,"CLIENT NOT ACTIVE",IF(COUNTIF(Teams!$A$5:$A$104,D1099)=0,"TEAM NOT FOUND","OK")))))</x:f>
      </x:c>
    </x:row>
    <x:row r="1100">
      <x:c r="E1100" s="102"/>
      <x:c r="G1100" s="100" t="str">
        <x:f>IF(COUNTA(A1100:F1100)=0,"",IF(OR(A1100="",B1100="",C1100="",D1100=""),"COMPLETE ROW",IF(COUNTIF(Clients!$A$5:$A$404,C1100)=0,"CLIENT NOT FOUND",IF(COUNTIFS(Clients!$A$5:$A$404,C1100,Clients!$B$5:$B$404,"Active")=0,"CLIENT NOT ACTIVE",IF(COUNTIF(Teams!$A$5:$A$104,D1100)=0,"TEAM NOT FOUND","OK")))))</x:f>
      </x:c>
    </x:row>
    <x:row r="1101">
      <x:c r="E1101" s="102"/>
      <x:c r="G1101" s="100" t="str">
        <x:f>IF(COUNTA(A1101:F1101)=0,"",IF(OR(A1101="",B1101="",C1101="",D1101=""),"COMPLETE ROW",IF(COUNTIF(Clients!$A$5:$A$404,C1101)=0,"CLIENT NOT FOUND",IF(COUNTIFS(Clients!$A$5:$A$404,C1101,Clients!$B$5:$B$404,"Active")=0,"CLIENT NOT ACTIVE",IF(COUNTIF(Teams!$A$5:$A$104,D1101)=0,"TEAM NOT FOUND","OK")))))</x:f>
      </x:c>
    </x:row>
    <x:row r="1102">
      <x:c r="E1102" s="102"/>
      <x:c r="G1102" s="100" t="str">
        <x:f>IF(COUNTA(A1102:F1102)=0,"",IF(OR(A1102="",B1102="",C1102="",D1102=""),"COMPLETE ROW",IF(COUNTIF(Clients!$A$5:$A$404,C1102)=0,"CLIENT NOT FOUND",IF(COUNTIFS(Clients!$A$5:$A$404,C1102,Clients!$B$5:$B$404,"Active")=0,"CLIENT NOT ACTIVE",IF(COUNTIF(Teams!$A$5:$A$104,D1102)=0,"TEAM NOT FOUND","OK")))))</x:f>
      </x:c>
    </x:row>
    <x:row r="1103">
      <x:c r="E1103" s="102"/>
      <x:c r="G1103" s="100" t="str">
        <x:f>IF(COUNTA(A1103:F1103)=0,"",IF(OR(A1103="",B1103="",C1103="",D1103=""),"COMPLETE ROW",IF(COUNTIF(Clients!$A$5:$A$404,C1103)=0,"CLIENT NOT FOUND",IF(COUNTIFS(Clients!$A$5:$A$404,C1103,Clients!$B$5:$B$404,"Active")=0,"CLIENT NOT ACTIVE",IF(COUNTIF(Teams!$A$5:$A$104,D1103)=0,"TEAM NOT FOUND","OK")))))</x:f>
      </x:c>
    </x:row>
    <x:row r="1104">
      <x:c r="E1104" s="102"/>
      <x:c r="G1104" s="100" t="str">
        <x:f>IF(COUNTA(A1104:F1104)=0,"",IF(OR(A1104="",B1104="",C1104="",D1104=""),"COMPLETE ROW",IF(COUNTIF(Clients!$A$5:$A$404,C1104)=0,"CLIENT NOT FOUND",IF(COUNTIFS(Clients!$A$5:$A$404,C1104,Clients!$B$5:$B$404,"Active")=0,"CLIENT NOT ACTIVE",IF(COUNTIF(Teams!$A$5:$A$104,D1104)=0,"TEAM NOT FOUND","OK")))))</x:f>
      </x:c>
    </x:row>
    <x:row r="1105">
      <x:c r="E1105" s="102"/>
      <x:c r="G1105" s="100" t="str">
        <x:f>IF(COUNTA(A1105:F1105)=0,"",IF(OR(A1105="",B1105="",C1105="",D1105=""),"COMPLETE ROW",IF(COUNTIF(Clients!$A$5:$A$404,C1105)=0,"CLIENT NOT FOUND",IF(COUNTIFS(Clients!$A$5:$A$404,C1105,Clients!$B$5:$B$404,"Active")=0,"CLIENT NOT ACTIVE",IF(COUNTIF(Teams!$A$5:$A$104,D1105)=0,"TEAM NOT FOUND","OK")))))</x:f>
      </x:c>
    </x:row>
    <x:row r="1106">
      <x:c r="E1106" s="102"/>
      <x:c r="G1106" s="100" t="str">
        <x:f>IF(COUNTA(A1106:F1106)=0,"",IF(OR(A1106="",B1106="",C1106="",D1106=""),"COMPLETE ROW",IF(COUNTIF(Clients!$A$5:$A$404,C1106)=0,"CLIENT NOT FOUND",IF(COUNTIFS(Clients!$A$5:$A$404,C1106,Clients!$B$5:$B$404,"Active")=0,"CLIENT NOT ACTIVE",IF(COUNTIF(Teams!$A$5:$A$104,D1106)=0,"TEAM NOT FOUND","OK")))))</x:f>
      </x:c>
    </x:row>
    <x:row r="1107">
      <x:c r="E1107" s="102"/>
      <x:c r="G1107" s="100" t="str">
        <x:f>IF(COUNTA(A1107:F1107)=0,"",IF(OR(A1107="",B1107="",C1107="",D1107=""),"COMPLETE ROW",IF(COUNTIF(Clients!$A$5:$A$404,C1107)=0,"CLIENT NOT FOUND",IF(COUNTIFS(Clients!$A$5:$A$404,C1107,Clients!$B$5:$B$404,"Active")=0,"CLIENT NOT ACTIVE",IF(COUNTIF(Teams!$A$5:$A$104,D1107)=0,"TEAM NOT FOUND","OK")))))</x:f>
      </x:c>
    </x:row>
    <x:row r="1108">
      <x:c r="E1108" s="102"/>
      <x:c r="G1108" s="100" t="str">
        <x:f>IF(COUNTA(A1108:F1108)=0,"",IF(OR(A1108="",B1108="",C1108="",D1108=""),"COMPLETE ROW",IF(COUNTIF(Clients!$A$5:$A$404,C1108)=0,"CLIENT NOT FOUND",IF(COUNTIFS(Clients!$A$5:$A$404,C1108,Clients!$B$5:$B$404,"Active")=0,"CLIENT NOT ACTIVE",IF(COUNTIF(Teams!$A$5:$A$104,D1108)=0,"TEAM NOT FOUND","OK")))))</x:f>
      </x:c>
    </x:row>
    <x:row r="1109">
      <x:c r="E1109" s="102"/>
      <x:c r="G1109" s="100" t="str">
        <x:f>IF(COUNTA(A1109:F1109)=0,"",IF(OR(A1109="",B1109="",C1109="",D1109=""),"COMPLETE ROW",IF(COUNTIF(Clients!$A$5:$A$404,C1109)=0,"CLIENT NOT FOUND",IF(COUNTIFS(Clients!$A$5:$A$404,C1109,Clients!$B$5:$B$404,"Active")=0,"CLIENT NOT ACTIVE",IF(COUNTIF(Teams!$A$5:$A$104,D1109)=0,"TEAM NOT FOUND","OK")))))</x:f>
      </x:c>
    </x:row>
    <x:row r="1110">
      <x:c r="E1110" s="102"/>
      <x:c r="G1110" s="100" t="str">
        <x:f>IF(COUNTA(A1110:F1110)=0,"",IF(OR(A1110="",B1110="",C1110="",D1110=""),"COMPLETE ROW",IF(COUNTIF(Clients!$A$5:$A$404,C1110)=0,"CLIENT NOT FOUND",IF(COUNTIFS(Clients!$A$5:$A$404,C1110,Clients!$B$5:$B$404,"Active")=0,"CLIENT NOT ACTIVE",IF(COUNTIF(Teams!$A$5:$A$104,D1110)=0,"TEAM NOT FOUND","OK")))))</x:f>
      </x:c>
    </x:row>
    <x:row r="1111">
      <x:c r="E1111" s="102"/>
      <x:c r="G1111" s="100" t="str">
        <x:f>IF(COUNTA(A1111:F1111)=0,"",IF(OR(A1111="",B1111="",C1111="",D1111=""),"COMPLETE ROW",IF(COUNTIF(Clients!$A$5:$A$404,C1111)=0,"CLIENT NOT FOUND",IF(COUNTIFS(Clients!$A$5:$A$404,C1111,Clients!$B$5:$B$404,"Active")=0,"CLIENT NOT ACTIVE",IF(COUNTIF(Teams!$A$5:$A$104,D1111)=0,"TEAM NOT FOUND","OK")))))</x:f>
      </x:c>
    </x:row>
    <x:row r="1112">
      <x:c r="E1112" s="102"/>
      <x:c r="G1112" s="100" t="str">
        <x:f>IF(COUNTA(A1112:F1112)=0,"",IF(OR(A1112="",B1112="",C1112="",D1112=""),"COMPLETE ROW",IF(COUNTIF(Clients!$A$5:$A$404,C1112)=0,"CLIENT NOT FOUND",IF(COUNTIFS(Clients!$A$5:$A$404,C1112,Clients!$B$5:$B$404,"Active")=0,"CLIENT NOT ACTIVE",IF(COUNTIF(Teams!$A$5:$A$104,D1112)=0,"TEAM NOT FOUND","OK")))))</x:f>
      </x:c>
    </x:row>
    <x:row r="1113">
      <x:c r="E1113" s="102"/>
      <x:c r="G1113" s="100" t="str">
        <x:f>IF(COUNTA(A1113:F1113)=0,"",IF(OR(A1113="",B1113="",C1113="",D1113=""),"COMPLETE ROW",IF(COUNTIF(Clients!$A$5:$A$404,C1113)=0,"CLIENT NOT FOUND",IF(COUNTIFS(Clients!$A$5:$A$404,C1113,Clients!$B$5:$B$404,"Active")=0,"CLIENT NOT ACTIVE",IF(COUNTIF(Teams!$A$5:$A$104,D1113)=0,"TEAM NOT FOUND","OK")))))</x:f>
      </x:c>
    </x:row>
    <x:row r="1114">
      <x:c r="E1114" s="102"/>
      <x:c r="G1114" s="100" t="str">
        <x:f>IF(COUNTA(A1114:F1114)=0,"",IF(OR(A1114="",B1114="",C1114="",D1114=""),"COMPLETE ROW",IF(COUNTIF(Clients!$A$5:$A$404,C1114)=0,"CLIENT NOT FOUND",IF(COUNTIFS(Clients!$A$5:$A$404,C1114,Clients!$B$5:$B$404,"Active")=0,"CLIENT NOT ACTIVE",IF(COUNTIF(Teams!$A$5:$A$104,D1114)=0,"TEAM NOT FOUND","OK")))))</x:f>
      </x:c>
    </x:row>
    <x:row r="1115">
      <x:c r="E1115" s="102"/>
      <x:c r="G1115" s="100" t="str">
        <x:f>IF(COUNTA(A1115:F1115)=0,"",IF(OR(A1115="",B1115="",C1115="",D1115=""),"COMPLETE ROW",IF(COUNTIF(Clients!$A$5:$A$404,C1115)=0,"CLIENT NOT FOUND",IF(COUNTIFS(Clients!$A$5:$A$404,C1115,Clients!$B$5:$B$404,"Active")=0,"CLIENT NOT ACTIVE",IF(COUNTIF(Teams!$A$5:$A$104,D1115)=0,"TEAM NOT FOUND","OK")))))</x:f>
      </x:c>
    </x:row>
    <x:row r="1116">
      <x:c r="E1116" s="102"/>
      <x:c r="G1116" s="100" t="str">
        <x:f>IF(COUNTA(A1116:F1116)=0,"",IF(OR(A1116="",B1116="",C1116="",D1116=""),"COMPLETE ROW",IF(COUNTIF(Clients!$A$5:$A$404,C1116)=0,"CLIENT NOT FOUND",IF(COUNTIFS(Clients!$A$5:$A$404,C1116,Clients!$B$5:$B$404,"Active")=0,"CLIENT NOT ACTIVE",IF(COUNTIF(Teams!$A$5:$A$104,D1116)=0,"TEAM NOT FOUND","OK")))))</x:f>
      </x:c>
    </x:row>
    <x:row r="1117">
      <x:c r="E1117" s="102"/>
      <x:c r="G1117" s="100" t="str">
        <x:f>IF(COUNTA(A1117:F1117)=0,"",IF(OR(A1117="",B1117="",C1117="",D1117=""),"COMPLETE ROW",IF(COUNTIF(Clients!$A$5:$A$404,C1117)=0,"CLIENT NOT FOUND",IF(COUNTIFS(Clients!$A$5:$A$404,C1117,Clients!$B$5:$B$404,"Active")=0,"CLIENT NOT ACTIVE",IF(COUNTIF(Teams!$A$5:$A$104,D1117)=0,"TEAM NOT FOUND","OK")))))</x:f>
      </x:c>
    </x:row>
    <x:row r="1118">
      <x:c r="E1118" s="102"/>
      <x:c r="G1118" s="100" t="str">
        <x:f>IF(COUNTA(A1118:F1118)=0,"",IF(OR(A1118="",B1118="",C1118="",D1118=""),"COMPLETE ROW",IF(COUNTIF(Clients!$A$5:$A$404,C1118)=0,"CLIENT NOT FOUND",IF(COUNTIFS(Clients!$A$5:$A$404,C1118,Clients!$B$5:$B$404,"Active")=0,"CLIENT NOT ACTIVE",IF(COUNTIF(Teams!$A$5:$A$104,D1118)=0,"TEAM NOT FOUND","OK")))))</x:f>
      </x:c>
    </x:row>
    <x:row r="1119">
      <x:c r="E1119" s="102"/>
      <x:c r="G1119" s="100" t="str">
        <x:f>IF(COUNTA(A1119:F1119)=0,"",IF(OR(A1119="",B1119="",C1119="",D1119=""),"COMPLETE ROW",IF(COUNTIF(Clients!$A$5:$A$404,C1119)=0,"CLIENT NOT FOUND",IF(COUNTIFS(Clients!$A$5:$A$404,C1119,Clients!$B$5:$B$404,"Active")=0,"CLIENT NOT ACTIVE",IF(COUNTIF(Teams!$A$5:$A$104,D1119)=0,"TEAM NOT FOUND","OK")))))</x:f>
      </x:c>
    </x:row>
    <x:row r="1120">
      <x:c r="E1120" s="102"/>
      <x:c r="G1120" s="100" t="str">
        <x:f>IF(COUNTA(A1120:F1120)=0,"",IF(OR(A1120="",B1120="",C1120="",D1120=""),"COMPLETE ROW",IF(COUNTIF(Clients!$A$5:$A$404,C1120)=0,"CLIENT NOT FOUND",IF(COUNTIFS(Clients!$A$5:$A$404,C1120,Clients!$B$5:$B$404,"Active")=0,"CLIENT NOT ACTIVE",IF(COUNTIF(Teams!$A$5:$A$104,D1120)=0,"TEAM NOT FOUND","OK")))))</x:f>
      </x:c>
    </x:row>
    <x:row r="1121">
      <x:c r="E1121" s="102"/>
      <x:c r="G1121" s="100" t="str">
        <x:f>IF(COUNTA(A1121:F1121)=0,"",IF(OR(A1121="",B1121="",C1121="",D1121=""),"COMPLETE ROW",IF(COUNTIF(Clients!$A$5:$A$404,C1121)=0,"CLIENT NOT FOUND",IF(COUNTIFS(Clients!$A$5:$A$404,C1121,Clients!$B$5:$B$404,"Active")=0,"CLIENT NOT ACTIVE",IF(COUNTIF(Teams!$A$5:$A$104,D1121)=0,"TEAM NOT FOUND","OK")))))</x:f>
      </x:c>
    </x:row>
    <x:row r="1122">
      <x:c r="E1122" s="102"/>
      <x:c r="G1122" s="100" t="str">
        <x:f>IF(COUNTA(A1122:F1122)=0,"",IF(OR(A1122="",B1122="",C1122="",D1122=""),"COMPLETE ROW",IF(COUNTIF(Clients!$A$5:$A$404,C1122)=0,"CLIENT NOT FOUND",IF(COUNTIFS(Clients!$A$5:$A$404,C1122,Clients!$B$5:$B$404,"Active")=0,"CLIENT NOT ACTIVE",IF(COUNTIF(Teams!$A$5:$A$104,D1122)=0,"TEAM NOT FOUND","OK")))))</x:f>
      </x:c>
    </x:row>
    <x:row r="1123">
      <x:c r="E1123" s="102"/>
      <x:c r="G1123" s="100" t="str">
        <x:f>IF(COUNTA(A1123:F1123)=0,"",IF(OR(A1123="",B1123="",C1123="",D1123=""),"COMPLETE ROW",IF(COUNTIF(Clients!$A$5:$A$404,C1123)=0,"CLIENT NOT FOUND",IF(COUNTIFS(Clients!$A$5:$A$404,C1123,Clients!$B$5:$B$404,"Active")=0,"CLIENT NOT ACTIVE",IF(COUNTIF(Teams!$A$5:$A$104,D1123)=0,"TEAM NOT FOUND","OK")))))</x:f>
      </x:c>
    </x:row>
    <x:row r="1124">
      <x:c r="E1124" s="102"/>
      <x:c r="G1124" s="100" t="str">
        <x:f>IF(COUNTA(A1124:F1124)=0,"",IF(OR(A1124="",B1124="",C1124="",D1124=""),"COMPLETE ROW",IF(COUNTIF(Clients!$A$5:$A$404,C1124)=0,"CLIENT NOT FOUND",IF(COUNTIFS(Clients!$A$5:$A$404,C1124,Clients!$B$5:$B$404,"Active")=0,"CLIENT NOT ACTIVE",IF(COUNTIF(Teams!$A$5:$A$104,D1124)=0,"TEAM NOT FOUND","OK")))))</x:f>
      </x:c>
    </x:row>
    <x:row r="1125">
      <x:c r="E1125" s="102"/>
      <x:c r="G1125" s="100" t="str">
        <x:f>IF(COUNTA(A1125:F1125)=0,"",IF(OR(A1125="",B1125="",C1125="",D1125=""),"COMPLETE ROW",IF(COUNTIF(Clients!$A$5:$A$404,C1125)=0,"CLIENT NOT FOUND",IF(COUNTIFS(Clients!$A$5:$A$404,C1125,Clients!$B$5:$B$404,"Active")=0,"CLIENT NOT ACTIVE",IF(COUNTIF(Teams!$A$5:$A$104,D1125)=0,"TEAM NOT FOUND","OK")))))</x:f>
      </x:c>
    </x:row>
    <x:row r="1126">
      <x:c r="E1126" s="102"/>
      <x:c r="G1126" s="100" t="str">
        <x:f>IF(COUNTA(A1126:F1126)=0,"",IF(OR(A1126="",B1126="",C1126="",D1126=""),"COMPLETE ROW",IF(COUNTIF(Clients!$A$5:$A$404,C1126)=0,"CLIENT NOT FOUND",IF(COUNTIFS(Clients!$A$5:$A$404,C1126,Clients!$B$5:$B$404,"Active")=0,"CLIENT NOT ACTIVE",IF(COUNTIF(Teams!$A$5:$A$104,D1126)=0,"TEAM NOT FOUND","OK")))))</x:f>
      </x:c>
    </x:row>
    <x:row r="1127">
      <x:c r="E1127" s="102"/>
      <x:c r="G1127" s="100" t="str">
        <x:f>IF(COUNTA(A1127:F1127)=0,"",IF(OR(A1127="",B1127="",C1127="",D1127=""),"COMPLETE ROW",IF(COUNTIF(Clients!$A$5:$A$404,C1127)=0,"CLIENT NOT FOUND",IF(COUNTIFS(Clients!$A$5:$A$404,C1127,Clients!$B$5:$B$404,"Active")=0,"CLIENT NOT ACTIVE",IF(COUNTIF(Teams!$A$5:$A$104,D1127)=0,"TEAM NOT FOUND","OK")))))</x:f>
      </x:c>
    </x:row>
    <x:row r="1128">
      <x:c r="E1128" s="102"/>
      <x:c r="G1128" s="100" t="str">
        <x:f>IF(COUNTA(A1128:F1128)=0,"",IF(OR(A1128="",B1128="",C1128="",D1128=""),"COMPLETE ROW",IF(COUNTIF(Clients!$A$5:$A$404,C1128)=0,"CLIENT NOT FOUND",IF(COUNTIFS(Clients!$A$5:$A$404,C1128,Clients!$B$5:$B$404,"Active")=0,"CLIENT NOT ACTIVE",IF(COUNTIF(Teams!$A$5:$A$104,D1128)=0,"TEAM NOT FOUND","OK")))))</x:f>
      </x:c>
    </x:row>
    <x:row r="1129">
      <x:c r="E1129" s="102"/>
      <x:c r="G1129" s="100" t="str">
        <x:f>IF(COUNTA(A1129:F1129)=0,"",IF(OR(A1129="",B1129="",C1129="",D1129=""),"COMPLETE ROW",IF(COUNTIF(Clients!$A$5:$A$404,C1129)=0,"CLIENT NOT FOUND",IF(COUNTIFS(Clients!$A$5:$A$404,C1129,Clients!$B$5:$B$404,"Active")=0,"CLIENT NOT ACTIVE",IF(COUNTIF(Teams!$A$5:$A$104,D1129)=0,"TEAM NOT FOUND","OK")))))</x:f>
      </x:c>
    </x:row>
    <x:row r="1130">
      <x:c r="E1130" s="102"/>
      <x:c r="G1130" s="100" t="str">
        <x:f>IF(COUNTA(A1130:F1130)=0,"",IF(OR(A1130="",B1130="",C1130="",D1130=""),"COMPLETE ROW",IF(COUNTIF(Clients!$A$5:$A$404,C1130)=0,"CLIENT NOT FOUND",IF(COUNTIFS(Clients!$A$5:$A$404,C1130,Clients!$B$5:$B$404,"Active")=0,"CLIENT NOT ACTIVE",IF(COUNTIF(Teams!$A$5:$A$104,D1130)=0,"TEAM NOT FOUND","OK")))))</x:f>
      </x:c>
    </x:row>
    <x:row r="1131">
      <x:c r="E1131" s="102"/>
      <x:c r="G1131" s="100" t="str">
        <x:f>IF(COUNTA(A1131:F1131)=0,"",IF(OR(A1131="",B1131="",C1131="",D1131=""),"COMPLETE ROW",IF(COUNTIF(Clients!$A$5:$A$404,C1131)=0,"CLIENT NOT FOUND",IF(COUNTIFS(Clients!$A$5:$A$404,C1131,Clients!$B$5:$B$404,"Active")=0,"CLIENT NOT ACTIVE",IF(COUNTIF(Teams!$A$5:$A$104,D1131)=0,"TEAM NOT FOUND","OK")))))</x:f>
      </x:c>
    </x:row>
    <x:row r="1132">
      <x:c r="E1132" s="102"/>
      <x:c r="G1132" s="100" t="str">
        <x:f>IF(COUNTA(A1132:F1132)=0,"",IF(OR(A1132="",B1132="",C1132="",D1132=""),"COMPLETE ROW",IF(COUNTIF(Clients!$A$5:$A$404,C1132)=0,"CLIENT NOT FOUND",IF(COUNTIFS(Clients!$A$5:$A$404,C1132,Clients!$B$5:$B$404,"Active")=0,"CLIENT NOT ACTIVE",IF(COUNTIF(Teams!$A$5:$A$104,D1132)=0,"TEAM NOT FOUND","OK")))))</x:f>
      </x:c>
    </x:row>
    <x:row r="1133">
      <x:c r="E1133" s="102"/>
      <x:c r="G1133" s="100" t="str">
        <x:f>IF(COUNTA(A1133:F1133)=0,"",IF(OR(A1133="",B1133="",C1133="",D1133=""),"COMPLETE ROW",IF(COUNTIF(Clients!$A$5:$A$404,C1133)=0,"CLIENT NOT FOUND",IF(COUNTIFS(Clients!$A$5:$A$404,C1133,Clients!$B$5:$B$404,"Active")=0,"CLIENT NOT ACTIVE",IF(COUNTIF(Teams!$A$5:$A$104,D1133)=0,"TEAM NOT FOUND","OK")))))</x:f>
      </x:c>
    </x:row>
    <x:row r="1134">
      <x:c r="E1134" s="102"/>
      <x:c r="G1134" s="100" t="str">
        <x:f>IF(COUNTA(A1134:F1134)=0,"",IF(OR(A1134="",B1134="",C1134="",D1134=""),"COMPLETE ROW",IF(COUNTIF(Clients!$A$5:$A$404,C1134)=0,"CLIENT NOT FOUND",IF(COUNTIFS(Clients!$A$5:$A$404,C1134,Clients!$B$5:$B$404,"Active")=0,"CLIENT NOT ACTIVE",IF(COUNTIF(Teams!$A$5:$A$104,D1134)=0,"TEAM NOT FOUND","OK")))))</x:f>
      </x:c>
    </x:row>
    <x:row r="1135">
      <x:c r="E1135" s="102"/>
      <x:c r="G1135" s="100" t="str">
        <x:f>IF(COUNTA(A1135:F1135)=0,"",IF(OR(A1135="",B1135="",C1135="",D1135=""),"COMPLETE ROW",IF(COUNTIF(Clients!$A$5:$A$404,C1135)=0,"CLIENT NOT FOUND",IF(COUNTIFS(Clients!$A$5:$A$404,C1135,Clients!$B$5:$B$404,"Active")=0,"CLIENT NOT ACTIVE",IF(COUNTIF(Teams!$A$5:$A$104,D1135)=0,"TEAM NOT FOUND","OK")))))</x:f>
      </x:c>
    </x:row>
    <x:row r="1136">
      <x:c r="E1136" s="102"/>
      <x:c r="G1136" s="100" t="str">
        <x:f>IF(COUNTA(A1136:F1136)=0,"",IF(OR(A1136="",B1136="",C1136="",D1136=""),"COMPLETE ROW",IF(COUNTIF(Clients!$A$5:$A$404,C1136)=0,"CLIENT NOT FOUND",IF(COUNTIFS(Clients!$A$5:$A$404,C1136,Clients!$B$5:$B$404,"Active")=0,"CLIENT NOT ACTIVE",IF(COUNTIF(Teams!$A$5:$A$104,D1136)=0,"TEAM NOT FOUND","OK")))))</x:f>
      </x:c>
    </x:row>
    <x:row r="1137">
      <x:c r="E1137" s="102"/>
      <x:c r="G1137" s="100" t="str">
        <x:f>IF(COUNTA(A1137:F1137)=0,"",IF(OR(A1137="",B1137="",C1137="",D1137=""),"COMPLETE ROW",IF(COUNTIF(Clients!$A$5:$A$404,C1137)=0,"CLIENT NOT FOUND",IF(COUNTIFS(Clients!$A$5:$A$404,C1137,Clients!$B$5:$B$404,"Active")=0,"CLIENT NOT ACTIVE",IF(COUNTIF(Teams!$A$5:$A$104,D1137)=0,"TEAM NOT FOUND","OK")))))</x:f>
      </x:c>
    </x:row>
    <x:row r="1138">
      <x:c r="E1138" s="102"/>
      <x:c r="G1138" s="100" t="str">
        <x:f>IF(COUNTA(A1138:F1138)=0,"",IF(OR(A1138="",B1138="",C1138="",D1138=""),"COMPLETE ROW",IF(COUNTIF(Clients!$A$5:$A$404,C1138)=0,"CLIENT NOT FOUND",IF(COUNTIFS(Clients!$A$5:$A$404,C1138,Clients!$B$5:$B$404,"Active")=0,"CLIENT NOT ACTIVE",IF(COUNTIF(Teams!$A$5:$A$104,D1138)=0,"TEAM NOT FOUND","OK")))))</x:f>
      </x:c>
    </x:row>
    <x:row r="1139">
      <x:c r="E1139" s="102"/>
      <x:c r="G1139" s="100" t="str">
        <x:f>IF(COUNTA(A1139:F1139)=0,"",IF(OR(A1139="",B1139="",C1139="",D1139=""),"COMPLETE ROW",IF(COUNTIF(Clients!$A$5:$A$404,C1139)=0,"CLIENT NOT FOUND",IF(COUNTIFS(Clients!$A$5:$A$404,C1139,Clients!$B$5:$B$404,"Active")=0,"CLIENT NOT ACTIVE",IF(COUNTIF(Teams!$A$5:$A$104,D1139)=0,"TEAM NOT FOUND","OK")))))</x:f>
      </x:c>
    </x:row>
    <x:row r="1140">
      <x:c r="E1140" s="102"/>
      <x:c r="G1140" s="100" t="str">
        <x:f>IF(COUNTA(A1140:F1140)=0,"",IF(OR(A1140="",B1140="",C1140="",D1140=""),"COMPLETE ROW",IF(COUNTIF(Clients!$A$5:$A$404,C1140)=0,"CLIENT NOT FOUND",IF(COUNTIFS(Clients!$A$5:$A$404,C1140,Clients!$B$5:$B$404,"Active")=0,"CLIENT NOT ACTIVE",IF(COUNTIF(Teams!$A$5:$A$104,D1140)=0,"TEAM NOT FOUND","OK")))))</x:f>
      </x:c>
    </x:row>
    <x:row r="1141">
      <x:c r="E1141" s="102"/>
      <x:c r="G1141" s="100" t="str">
        <x:f>IF(COUNTA(A1141:F1141)=0,"",IF(OR(A1141="",B1141="",C1141="",D1141=""),"COMPLETE ROW",IF(COUNTIF(Clients!$A$5:$A$404,C1141)=0,"CLIENT NOT FOUND",IF(COUNTIFS(Clients!$A$5:$A$404,C1141,Clients!$B$5:$B$404,"Active")=0,"CLIENT NOT ACTIVE",IF(COUNTIF(Teams!$A$5:$A$104,D1141)=0,"TEAM NOT FOUND","OK")))))</x:f>
      </x:c>
    </x:row>
    <x:row r="1142">
      <x:c r="E1142" s="102"/>
      <x:c r="G1142" s="100" t="str">
        <x:f>IF(COUNTA(A1142:F1142)=0,"",IF(OR(A1142="",B1142="",C1142="",D1142=""),"COMPLETE ROW",IF(COUNTIF(Clients!$A$5:$A$404,C1142)=0,"CLIENT NOT FOUND",IF(COUNTIFS(Clients!$A$5:$A$404,C1142,Clients!$B$5:$B$404,"Active")=0,"CLIENT NOT ACTIVE",IF(COUNTIF(Teams!$A$5:$A$104,D1142)=0,"TEAM NOT FOUND","OK")))))</x:f>
      </x:c>
    </x:row>
    <x:row r="1143">
      <x:c r="E1143" s="102"/>
      <x:c r="G1143" s="100" t="str">
        <x:f>IF(COUNTA(A1143:F1143)=0,"",IF(OR(A1143="",B1143="",C1143="",D1143=""),"COMPLETE ROW",IF(COUNTIF(Clients!$A$5:$A$404,C1143)=0,"CLIENT NOT FOUND",IF(COUNTIFS(Clients!$A$5:$A$404,C1143,Clients!$B$5:$B$404,"Active")=0,"CLIENT NOT ACTIVE",IF(COUNTIF(Teams!$A$5:$A$104,D1143)=0,"TEAM NOT FOUND","OK")))))</x:f>
      </x:c>
    </x:row>
    <x:row r="1144">
      <x:c r="E1144" s="102"/>
      <x:c r="G1144" s="100" t="str">
        <x:f>IF(COUNTA(A1144:F1144)=0,"",IF(OR(A1144="",B1144="",C1144="",D1144=""),"COMPLETE ROW",IF(COUNTIF(Clients!$A$5:$A$404,C1144)=0,"CLIENT NOT FOUND",IF(COUNTIFS(Clients!$A$5:$A$404,C1144,Clients!$B$5:$B$404,"Active")=0,"CLIENT NOT ACTIVE",IF(COUNTIF(Teams!$A$5:$A$104,D1144)=0,"TEAM NOT FOUND","OK")))))</x:f>
      </x:c>
    </x:row>
    <x:row r="1145">
      <x:c r="E1145" s="102"/>
      <x:c r="G1145" s="100" t="str">
        <x:f>IF(COUNTA(A1145:F1145)=0,"",IF(OR(A1145="",B1145="",C1145="",D1145=""),"COMPLETE ROW",IF(COUNTIF(Clients!$A$5:$A$404,C1145)=0,"CLIENT NOT FOUND",IF(COUNTIFS(Clients!$A$5:$A$404,C1145,Clients!$B$5:$B$404,"Active")=0,"CLIENT NOT ACTIVE",IF(COUNTIF(Teams!$A$5:$A$104,D1145)=0,"TEAM NOT FOUND","OK")))))</x:f>
      </x:c>
    </x:row>
    <x:row r="1146">
      <x:c r="E1146" s="102"/>
      <x:c r="G1146" s="100" t="str">
        <x:f>IF(COUNTA(A1146:F1146)=0,"",IF(OR(A1146="",B1146="",C1146="",D1146=""),"COMPLETE ROW",IF(COUNTIF(Clients!$A$5:$A$404,C1146)=0,"CLIENT NOT FOUND",IF(COUNTIFS(Clients!$A$5:$A$404,C1146,Clients!$B$5:$B$404,"Active")=0,"CLIENT NOT ACTIVE",IF(COUNTIF(Teams!$A$5:$A$104,D1146)=0,"TEAM NOT FOUND","OK")))))</x:f>
      </x:c>
    </x:row>
    <x:row r="1147">
      <x:c r="E1147" s="102"/>
      <x:c r="G1147" s="100" t="str">
        <x:f>IF(COUNTA(A1147:F1147)=0,"",IF(OR(A1147="",B1147="",C1147="",D1147=""),"COMPLETE ROW",IF(COUNTIF(Clients!$A$5:$A$404,C1147)=0,"CLIENT NOT FOUND",IF(COUNTIFS(Clients!$A$5:$A$404,C1147,Clients!$B$5:$B$404,"Active")=0,"CLIENT NOT ACTIVE",IF(COUNTIF(Teams!$A$5:$A$104,D1147)=0,"TEAM NOT FOUND","OK")))))</x:f>
      </x:c>
    </x:row>
    <x:row r="1148">
      <x:c r="E1148" s="102"/>
      <x:c r="G1148" s="100" t="str">
        <x:f>IF(COUNTA(A1148:F1148)=0,"",IF(OR(A1148="",B1148="",C1148="",D1148=""),"COMPLETE ROW",IF(COUNTIF(Clients!$A$5:$A$404,C1148)=0,"CLIENT NOT FOUND",IF(COUNTIFS(Clients!$A$5:$A$404,C1148,Clients!$B$5:$B$404,"Active")=0,"CLIENT NOT ACTIVE",IF(COUNTIF(Teams!$A$5:$A$104,D1148)=0,"TEAM NOT FOUND","OK")))))</x:f>
      </x:c>
    </x:row>
    <x:row r="1149">
      <x:c r="E1149" s="102"/>
      <x:c r="G1149" s="100" t="str">
        <x:f>IF(COUNTA(A1149:F1149)=0,"",IF(OR(A1149="",B1149="",C1149="",D1149=""),"COMPLETE ROW",IF(COUNTIF(Clients!$A$5:$A$404,C1149)=0,"CLIENT NOT FOUND",IF(COUNTIFS(Clients!$A$5:$A$404,C1149,Clients!$B$5:$B$404,"Active")=0,"CLIENT NOT ACTIVE",IF(COUNTIF(Teams!$A$5:$A$104,D1149)=0,"TEAM NOT FOUND","OK")))))</x:f>
      </x:c>
    </x:row>
    <x:row r="1150">
      <x:c r="E1150" s="102"/>
      <x:c r="G1150" s="100" t="str">
        <x:f>IF(COUNTA(A1150:F1150)=0,"",IF(OR(A1150="",B1150="",C1150="",D1150=""),"COMPLETE ROW",IF(COUNTIF(Clients!$A$5:$A$404,C1150)=0,"CLIENT NOT FOUND",IF(COUNTIFS(Clients!$A$5:$A$404,C1150,Clients!$B$5:$B$404,"Active")=0,"CLIENT NOT ACTIVE",IF(COUNTIF(Teams!$A$5:$A$104,D1150)=0,"TEAM NOT FOUND","OK")))))</x:f>
      </x:c>
    </x:row>
    <x:row r="1151">
      <x:c r="E1151" s="102"/>
      <x:c r="G1151" s="100" t="str">
        <x:f>IF(COUNTA(A1151:F1151)=0,"",IF(OR(A1151="",B1151="",C1151="",D1151=""),"COMPLETE ROW",IF(COUNTIF(Clients!$A$5:$A$404,C1151)=0,"CLIENT NOT FOUND",IF(COUNTIFS(Clients!$A$5:$A$404,C1151,Clients!$B$5:$B$404,"Active")=0,"CLIENT NOT ACTIVE",IF(COUNTIF(Teams!$A$5:$A$104,D1151)=0,"TEAM NOT FOUND","OK")))))</x:f>
      </x:c>
    </x:row>
    <x:row r="1152">
      <x:c r="E1152" s="102"/>
      <x:c r="G1152" s="100" t="str">
        <x:f>IF(COUNTA(A1152:F1152)=0,"",IF(OR(A1152="",B1152="",C1152="",D1152=""),"COMPLETE ROW",IF(COUNTIF(Clients!$A$5:$A$404,C1152)=0,"CLIENT NOT FOUND",IF(COUNTIFS(Clients!$A$5:$A$404,C1152,Clients!$B$5:$B$404,"Active")=0,"CLIENT NOT ACTIVE",IF(COUNTIF(Teams!$A$5:$A$104,D1152)=0,"TEAM NOT FOUND","OK")))))</x:f>
      </x:c>
    </x:row>
    <x:row r="1153">
      <x:c r="E1153" s="102"/>
      <x:c r="G1153" s="100" t="str">
        <x:f>IF(COUNTA(A1153:F1153)=0,"",IF(OR(A1153="",B1153="",C1153="",D1153=""),"COMPLETE ROW",IF(COUNTIF(Clients!$A$5:$A$404,C1153)=0,"CLIENT NOT FOUND",IF(COUNTIFS(Clients!$A$5:$A$404,C1153,Clients!$B$5:$B$404,"Active")=0,"CLIENT NOT ACTIVE",IF(COUNTIF(Teams!$A$5:$A$104,D1153)=0,"TEAM NOT FOUND","OK")))))</x:f>
      </x:c>
    </x:row>
    <x:row r="1154">
      <x:c r="E1154" s="102"/>
      <x:c r="G1154" s="100" t="str">
        <x:f>IF(COUNTA(A1154:F1154)=0,"",IF(OR(A1154="",B1154="",C1154="",D1154=""),"COMPLETE ROW",IF(COUNTIF(Clients!$A$5:$A$404,C1154)=0,"CLIENT NOT FOUND",IF(COUNTIFS(Clients!$A$5:$A$404,C1154,Clients!$B$5:$B$404,"Active")=0,"CLIENT NOT ACTIVE",IF(COUNTIF(Teams!$A$5:$A$104,D1154)=0,"TEAM NOT FOUND","OK")))))</x:f>
      </x:c>
    </x:row>
    <x:row r="1155">
      <x:c r="E1155" s="102"/>
      <x:c r="G1155" s="100" t="str">
        <x:f>IF(COUNTA(A1155:F1155)=0,"",IF(OR(A1155="",B1155="",C1155="",D1155=""),"COMPLETE ROW",IF(COUNTIF(Clients!$A$5:$A$404,C1155)=0,"CLIENT NOT FOUND",IF(COUNTIFS(Clients!$A$5:$A$404,C1155,Clients!$B$5:$B$404,"Active")=0,"CLIENT NOT ACTIVE",IF(COUNTIF(Teams!$A$5:$A$104,D1155)=0,"TEAM NOT FOUND","OK")))))</x:f>
      </x:c>
    </x:row>
    <x:row r="1156">
      <x:c r="E1156" s="102"/>
      <x:c r="G1156" s="100" t="str">
        <x:f>IF(COUNTA(A1156:F1156)=0,"",IF(OR(A1156="",B1156="",C1156="",D1156=""),"COMPLETE ROW",IF(COUNTIF(Clients!$A$5:$A$404,C1156)=0,"CLIENT NOT FOUND",IF(COUNTIFS(Clients!$A$5:$A$404,C1156,Clients!$B$5:$B$404,"Active")=0,"CLIENT NOT ACTIVE",IF(COUNTIF(Teams!$A$5:$A$104,D1156)=0,"TEAM NOT FOUND","OK")))))</x:f>
      </x:c>
    </x:row>
    <x:row r="1157">
      <x:c r="E1157" s="102"/>
      <x:c r="G1157" s="100" t="str">
        <x:f>IF(COUNTA(A1157:F1157)=0,"",IF(OR(A1157="",B1157="",C1157="",D1157=""),"COMPLETE ROW",IF(COUNTIF(Clients!$A$5:$A$404,C1157)=0,"CLIENT NOT FOUND",IF(COUNTIFS(Clients!$A$5:$A$404,C1157,Clients!$B$5:$B$404,"Active")=0,"CLIENT NOT ACTIVE",IF(COUNTIF(Teams!$A$5:$A$104,D1157)=0,"TEAM NOT FOUND","OK")))))</x:f>
      </x:c>
    </x:row>
    <x:row r="1158">
      <x:c r="E1158" s="102"/>
      <x:c r="G1158" s="100" t="str">
        <x:f>IF(COUNTA(A1158:F1158)=0,"",IF(OR(A1158="",B1158="",C1158="",D1158=""),"COMPLETE ROW",IF(COUNTIF(Clients!$A$5:$A$404,C1158)=0,"CLIENT NOT FOUND",IF(COUNTIFS(Clients!$A$5:$A$404,C1158,Clients!$B$5:$B$404,"Active")=0,"CLIENT NOT ACTIVE",IF(COUNTIF(Teams!$A$5:$A$104,D1158)=0,"TEAM NOT FOUND","OK")))))</x:f>
      </x:c>
    </x:row>
    <x:row r="1159">
      <x:c r="E1159" s="102"/>
      <x:c r="G1159" s="100" t="str">
        <x:f>IF(COUNTA(A1159:F1159)=0,"",IF(OR(A1159="",B1159="",C1159="",D1159=""),"COMPLETE ROW",IF(COUNTIF(Clients!$A$5:$A$404,C1159)=0,"CLIENT NOT FOUND",IF(COUNTIFS(Clients!$A$5:$A$404,C1159,Clients!$B$5:$B$404,"Active")=0,"CLIENT NOT ACTIVE",IF(COUNTIF(Teams!$A$5:$A$104,D1159)=0,"TEAM NOT FOUND","OK")))))</x:f>
      </x:c>
    </x:row>
    <x:row r="1160">
      <x:c r="E1160" s="102"/>
      <x:c r="G1160" s="100" t="str">
        <x:f>IF(COUNTA(A1160:F1160)=0,"",IF(OR(A1160="",B1160="",C1160="",D1160=""),"COMPLETE ROW",IF(COUNTIF(Clients!$A$5:$A$404,C1160)=0,"CLIENT NOT FOUND",IF(COUNTIFS(Clients!$A$5:$A$404,C1160,Clients!$B$5:$B$404,"Active")=0,"CLIENT NOT ACTIVE",IF(COUNTIF(Teams!$A$5:$A$104,D1160)=0,"TEAM NOT FOUND","OK")))))</x:f>
      </x:c>
    </x:row>
    <x:row r="1161">
      <x:c r="E1161" s="102"/>
      <x:c r="G1161" s="100" t="str">
        <x:f>IF(COUNTA(A1161:F1161)=0,"",IF(OR(A1161="",B1161="",C1161="",D1161=""),"COMPLETE ROW",IF(COUNTIF(Clients!$A$5:$A$404,C1161)=0,"CLIENT NOT FOUND",IF(COUNTIFS(Clients!$A$5:$A$404,C1161,Clients!$B$5:$B$404,"Active")=0,"CLIENT NOT ACTIVE",IF(COUNTIF(Teams!$A$5:$A$104,D1161)=0,"TEAM NOT FOUND","OK")))))</x:f>
      </x:c>
    </x:row>
    <x:row r="1162">
      <x:c r="E1162" s="102"/>
      <x:c r="G1162" s="100" t="str">
        <x:f>IF(COUNTA(A1162:F1162)=0,"",IF(OR(A1162="",B1162="",C1162="",D1162=""),"COMPLETE ROW",IF(COUNTIF(Clients!$A$5:$A$404,C1162)=0,"CLIENT NOT FOUND",IF(COUNTIFS(Clients!$A$5:$A$404,C1162,Clients!$B$5:$B$404,"Active")=0,"CLIENT NOT ACTIVE",IF(COUNTIF(Teams!$A$5:$A$104,D1162)=0,"TEAM NOT FOUND","OK")))))</x:f>
      </x:c>
    </x:row>
    <x:row r="1163">
      <x:c r="E1163" s="102"/>
      <x:c r="G1163" s="100" t="str">
        <x:f>IF(COUNTA(A1163:F1163)=0,"",IF(OR(A1163="",B1163="",C1163="",D1163=""),"COMPLETE ROW",IF(COUNTIF(Clients!$A$5:$A$404,C1163)=0,"CLIENT NOT FOUND",IF(COUNTIFS(Clients!$A$5:$A$404,C1163,Clients!$B$5:$B$404,"Active")=0,"CLIENT NOT ACTIVE",IF(COUNTIF(Teams!$A$5:$A$104,D1163)=0,"TEAM NOT FOUND","OK")))))</x:f>
      </x:c>
    </x:row>
    <x:row r="1164">
      <x:c r="E1164" s="102"/>
      <x:c r="G1164" s="100" t="str">
        <x:f>IF(COUNTA(A1164:F1164)=0,"",IF(OR(A1164="",B1164="",C1164="",D1164=""),"COMPLETE ROW",IF(COUNTIF(Clients!$A$5:$A$404,C1164)=0,"CLIENT NOT FOUND",IF(COUNTIFS(Clients!$A$5:$A$404,C1164,Clients!$B$5:$B$404,"Active")=0,"CLIENT NOT ACTIVE",IF(COUNTIF(Teams!$A$5:$A$104,D1164)=0,"TEAM NOT FOUND","OK")))))</x:f>
      </x:c>
    </x:row>
    <x:row r="1165">
      <x:c r="E1165" s="102"/>
      <x:c r="G1165" s="100" t="str">
        <x:f>IF(COUNTA(A1165:F1165)=0,"",IF(OR(A1165="",B1165="",C1165="",D1165=""),"COMPLETE ROW",IF(COUNTIF(Clients!$A$5:$A$404,C1165)=0,"CLIENT NOT FOUND",IF(COUNTIFS(Clients!$A$5:$A$404,C1165,Clients!$B$5:$B$404,"Active")=0,"CLIENT NOT ACTIVE",IF(COUNTIF(Teams!$A$5:$A$104,D1165)=0,"TEAM NOT FOUND","OK")))))</x:f>
      </x:c>
    </x:row>
    <x:row r="1166">
      <x:c r="E1166" s="102"/>
      <x:c r="G1166" s="100" t="str">
        <x:f>IF(COUNTA(A1166:F1166)=0,"",IF(OR(A1166="",B1166="",C1166="",D1166=""),"COMPLETE ROW",IF(COUNTIF(Clients!$A$5:$A$404,C1166)=0,"CLIENT NOT FOUND",IF(COUNTIFS(Clients!$A$5:$A$404,C1166,Clients!$B$5:$B$404,"Active")=0,"CLIENT NOT ACTIVE",IF(COUNTIF(Teams!$A$5:$A$104,D1166)=0,"TEAM NOT FOUND","OK")))))</x:f>
      </x:c>
    </x:row>
    <x:row r="1167">
      <x:c r="E1167" s="102"/>
      <x:c r="G1167" s="100" t="str">
        <x:f>IF(COUNTA(A1167:F1167)=0,"",IF(OR(A1167="",B1167="",C1167="",D1167=""),"COMPLETE ROW",IF(COUNTIF(Clients!$A$5:$A$404,C1167)=0,"CLIENT NOT FOUND",IF(COUNTIFS(Clients!$A$5:$A$404,C1167,Clients!$B$5:$B$404,"Active")=0,"CLIENT NOT ACTIVE",IF(COUNTIF(Teams!$A$5:$A$104,D1167)=0,"TEAM NOT FOUND","OK")))))</x:f>
      </x:c>
    </x:row>
    <x:row r="1168">
      <x:c r="E1168" s="102"/>
      <x:c r="G1168" s="100" t="str">
        <x:f>IF(COUNTA(A1168:F1168)=0,"",IF(OR(A1168="",B1168="",C1168="",D1168=""),"COMPLETE ROW",IF(COUNTIF(Clients!$A$5:$A$404,C1168)=0,"CLIENT NOT FOUND",IF(COUNTIFS(Clients!$A$5:$A$404,C1168,Clients!$B$5:$B$404,"Active")=0,"CLIENT NOT ACTIVE",IF(COUNTIF(Teams!$A$5:$A$104,D1168)=0,"TEAM NOT FOUND","OK")))))</x:f>
      </x:c>
    </x:row>
    <x:row r="1169">
      <x:c r="E1169" s="102"/>
      <x:c r="G1169" s="100" t="str">
        <x:f>IF(COUNTA(A1169:F1169)=0,"",IF(OR(A1169="",B1169="",C1169="",D1169=""),"COMPLETE ROW",IF(COUNTIF(Clients!$A$5:$A$404,C1169)=0,"CLIENT NOT FOUND",IF(COUNTIFS(Clients!$A$5:$A$404,C1169,Clients!$B$5:$B$404,"Active")=0,"CLIENT NOT ACTIVE",IF(COUNTIF(Teams!$A$5:$A$104,D1169)=0,"TEAM NOT FOUND","OK")))))</x:f>
      </x:c>
    </x:row>
    <x:row r="1170">
      <x:c r="E1170" s="102"/>
      <x:c r="G1170" s="100" t="str">
        <x:f>IF(COUNTA(A1170:F1170)=0,"",IF(OR(A1170="",B1170="",C1170="",D1170=""),"COMPLETE ROW",IF(COUNTIF(Clients!$A$5:$A$404,C1170)=0,"CLIENT NOT FOUND",IF(COUNTIFS(Clients!$A$5:$A$404,C1170,Clients!$B$5:$B$404,"Active")=0,"CLIENT NOT ACTIVE",IF(COUNTIF(Teams!$A$5:$A$104,D1170)=0,"TEAM NOT FOUND","OK")))))</x:f>
      </x:c>
    </x:row>
    <x:row r="1171">
      <x:c r="E1171" s="102"/>
      <x:c r="G1171" s="100" t="str">
        <x:f>IF(COUNTA(A1171:F1171)=0,"",IF(OR(A1171="",B1171="",C1171="",D1171=""),"COMPLETE ROW",IF(COUNTIF(Clients!$A$5:$A$404,C1171)=0,"CLIENT NOT FOUND",IF(COUNTIFS(Clients!$A$5:$A$404,C1171,Clients!$B$5:$B$404,"Active")=0,"CLIENT NOT ACTIVE",IF(COUNTIF(Teams!$A$5:$A$104,D1171)=0,"TEAM NOT FOUND","OK")))))</x:f>
      </x:c>
    </x:row>
    <x:row r="1172">
      <x:c r="E1172" s="102"/>
      <x:c r="G1172" s="100" t="str">
        <x:f>IF(COUNTA(A1172:F1172)=0,"",IF(OR(A1172="",B1172="",C1172="",D1172=""),"COMPLETE ROW",IF(COUNTIF(Clients!$A$5:$A$404,C1172)=0,"CLIENT NOT FOUND",IF(COUNTIFS(Clients!$A$5:$A$404,C1172,Clients!$B$5:$B$404,"Active")=0,"CLIENT NOT ACTIVE",IF(COUNTIF(Teams!$A$5:$A$104,D1172)=0,"TEAM NOT FOUND","OK")))))</x:f>
      </x:c>
    </x:row>
    <x:row r="1173">
      <x:c r="E1173" s="102"/>
      <x:c r="G1173" s="100" t="str">
        <x:f>IF(COUNTA(A1173:F1173)=0,"",IF(OR(A1173="",B1173="",C1173="",D1173=""),"COMPLETE ROW",IF(COUNTIF(Clients!$A$5:$A$404,C1173)=0,"CLIENT NOT FOUND",IF(COUNTIFS(Clients!$A$5:$A$404,C1173,Clients!$B$5:$B$404,"Active")=0,"CLIENT NOT ACTIVE",IF(COUNTIF(Teams!$A$5:$A$104,D1173)=0,"TEAM NOT FOUND","OK")))))</x:f>
      </x:c>
    </x:row>
    <x:row r="1174">
      <x:c r="E1174" s="102"/>
      <x:c r="G1174" s="100" t="str">
        <x:f>IF(COUNTA(A1174:F1174)=0,"",IF(OR(A1174="",B1174="",C1174="",D1174=""),"COMPLETE ROW",IF(COUNTIF(Clients!$A$5:$A$404,C1174)=0,"CLIENT NOT FOUND",IF(COUNTIFS(Clients!$A$5:$A$404,C1174,Clients!$B$5:$B$404,"Active")=0,"CLIENT NOT ACTIVE",IF(COUNTIF(Teams!$A$5:$A$104,D1174)=0,"TEAM NOT FOUND","OK")))))</x:f>
      </x:c>
    </x:row>
    <x:row r="1175">
      <x:c r="E1175" s="102"/>
      <x:c r="G1175" s="100" t="str">
        <x:f>IF(COUNTA(A1175:F1175)=0,"",IF(OR(A1175="",B1175="",C1175="",D1175=""),"COMPLETE ROW",IF(COUNTIF(Clients!$A$5:$A$404,C1175)=0,"CLIENT NOT FOUND",IF(COUNTIFS(Clients!$A$5:$A$404,C1175,Clients!$B$5:$B$404,"Active")=0,"CLIENT NOT ACTIVE",IF(COUNTIF(Teams!$A$5:$A$104,D1175)=0,"TEAM NOT FOUND","OK")))))</x:f>
      </x:c>
    </x:row>
    <x:row r="1176">
      <x:c r="E1176" s="102"/>
      <x:c r="G1176" s="100" t="str">
        <x:f>IF(COUNTA(A1176:F1176)=0,"",IF(OR(A1176="",B1176="",C1176="",D1176=""),"COMPLETE ROW",IF(COUNTIF(Clients!$A$5:$A$404,C1176)=0,"CLIENT NOT FOUND",IF(COUNTIFS(Clients!$A$5:$A$404,C1176,Clients!$B$5:$B$404,"Active")=0,"CLIENT NOT ACTIVE",IF(COUNTIF(Teams!$A$5:$A$104,D1176)=0,"TEAM NOT FOUND","OK")))))</x:f>
      </x:c>
    </x:row>
    <x:row r="1177">
      <x:c r="E1177" s="102"/>
      <x:c r="G1177" s="100" t="str">
        <x:f>IF(COUNTA(A1177:F1177)=0,"",IF(OR(A1177="",B1177="",C1177="",D1177=""),"COMPLETE ROW",IF(COUNTIF(Clients!$A$5:$A$404,C1177)=0,"CLIENT NOT FOUND",IF(COUNTIFS(Clients!$A$5:$A$404,C1177,Clients!$B$5:$B$404,"Active")=0,"CLIENT NOT ACTIVE",IF(COUNTIF(Teams!$A$5:$A$104,D1177)=0,"TEAM NOT FOUND","OK")))))</x:f>
      </x:c>
    </x:row>
    <x:row r="1178">
      <x:c r="E1178" s="102"/>
      <x:c r="G1178" s="100" t="str">
        <x:f>IF(COUNTA(A1178:F1178)=0,"",IF(OR(A1178="",B1178="",C1178="",D1178=""),"COMPLETE ROW",IF(COUNTIF(Clients!$A$5:$A$404,C1178)=0,"CLIENT NOT FOUND",IF(COUNTIFS(Clients!$A$5:$A$404,C1178,Clients!$B$5:$B$404,"Active")=0,"CLIENT NOT ACTIVE",IF(COUNTIF(Teams!$A$5:$A$104,D1178)=0,"TEAM NOT FOUND","OK")))))</x:f>
      </x:c>
    </x:row>
    <x:row r="1179">
      <x:c r="E1179" s="102"/>
      <x:c r="G1179" s="100" t="str">
        <x:f>IF(COUNTA(A1179:F1179)=0,"",IF(OR(A1179="",B1179="",C1179="",D1179=""),"COMPLETE ROW",IF(COUNTIF(Clients!$A$5:$A$404,C1179)=0,"CLIENT NOT FOUND",IF(COUNTIFS(Clients!$A$5:$A$404,C1179,Clients!$B$5:$B$404,"Active")=0,"CLIENT NOT ACTIVE",IF(COUNTIF(Teams!$A$5:$A$104,D1179)=0,"TEAM NOT FOUND","OK")))))</x:f>
      </x:c>
    </x:row>
    <x:row r="1180">
      <x:c r="E1180" s="102"/>
      <x:c r="G1180" s="100" t="str">
        <x:f>IF(COUNTA(A1180:F1180)=0,"",IF(OR(A1180="",B1180="",C1180="",D1180=""),"COMPLETE ROW",IF(COUNTIF(Clients!$A$5:$A$404,C1180)=0,"CLIENT NOT FOUND",IF(COUNTIFS(Clients!$A$5:$A$404,C1180,Clients!$B$5:$B$404,"Active")=0,"CLIENT NOT ACTIVE",IF(COUNTIF(Teams!$A$5:$A$104,D1180)=0,"TEAM NOT FOUND","OK")))))</x:f>
      </x:c>
    </x:row>
    <x:row r="1181">
      <x:c r="E1181" s="102"/>
      <x:c r="G1181" s="100" t="str">
        <x:f>IF(COUNTA(A1181:F1181)=0,"",IF(OR(A1181="",B1181="",C1181="",D1181=""),"COMPLETE ROW",IF(COUNTIF(Clients!$A$5:$A$404,C1181)=0,"CLIENT NOT FOUND",IF(COUNTIFS(Clients!$A$5:$A$404,C1181,Clients!$B$5:$B$404,"Active")=0,"CLIENT NOT ACTIVE",IF(COUNTIF(Teams!$A$5:$A$104,D1181)=0,"TEAM NOT FOUND","OK")))))</x:f>
      </x:c>
    </x:row>
    <x:row r="1182">
      <x:c r="E1182" s="102"/>
      <x:c r="G1182" s="100" t="str">
        <x:f>IF(COUNTA(A1182:F1182)=0,"",IF(OR(A1182="",B1182="",C1182="",D1182=""),"COMPLETE ROW",IF(COUNTIF(Clients!$A$5:$A$404,C1182)=0,"CLIENT NOT FOUND",IF(COUNTIFS(Clients!$A$5:$A$404,C1182,Clients!$B$5:$B$404,"Active")=0,"CLIENT NOT ACTIVE",IF(COUNTIF(Teams!$A$5:$A$104,D1182)=0,"TEAM NOT FOUND","OK")))))</x:f>
      </x:c>
    </x:row>
    <x:row r="1183">
      <x:c r="E1183" s="102"/>
      <x:c r="G1183" s="100" t="str">
        <x:f>IF(COUNTA(A1183:F1183)=0,"",IF(OR(A1183="",B1183="",C1183="",D1183=""),"COMPLETE ROW",IF(COUNTIF(Clients!$A$5:$A$404,C1183)=0,"CLIENT NOT FOUND",IF(COUNTIFS(Clients!$A$5:$A$404,C1183,Clients!$B$5:$B$404,"Active")=0,"CLIENT NOT ACTIVE",IF(COUNTIF(Teams!$A$5:$A$104,D1183)=0,"TEAM NOT FOUND","OK")))))</x:f>
      </x:c>
    </x:row>
    <x:row r="1184">
      <x:c r="E1184" s="102"/>
      <x:c r="G1184" s="100" t="str">
        <x:f>IF(COUNTA(A1184:F1184)=0,"",IF(OR(A1184="",B1184="",C1184="",D1184=""),"COMPLETE ROW",IF(COUNTIF(Clients!$A$5:$A$404,C1184)=0,"CLIENT NOT FOUND",IF(COUNTIFS(Clients!$A$5:$A$404,C1184,Clients!$B$5:$B$404,"Active")=0,"CLIENT NOT ACTIVE",IF(COUNTIF(Teams!$A$5:$A$104,D1184)=0,"TEAM NOT FOUND","OK")))))</x:f>
      </x:c>
    </x:row>
    <x:row r="1185">
      <x:c r="E1185" s="102"/>
      <x:c r="G1185" s="100" t="str">
        <x:f>IF(COUNTA(A1185:F1185)=0,"",IF(OR(A1185="",B1185="",C1185="",D1185=""),"COMPLETE ROW",IF(COUNTIF(Clients!$A$5:$A$404,C1185)=0,"CLIENT NOT FOUND",IF(COUNTIFS(Clients!$A$5:$A$404,C1185,Clients!$B$5:$B$404,"Active")=0,"CLIENT NOT ACTIVE",IF(COUNTIF(Teams!$A$5:$A$104,D1185)=0,"TEAM NOT FOUND","OK")))))</x:f>
      </x:c>
    </x:row>
    <x:row r="1186">
      <x:c r="E1186" s="102"/>
      <x:c r="G1186" s="100" t="str">
        <x:f>IF(COUNTA(A1186:F1186)=0,"",IF(OR(A1186="",B1186="",C1186="",D1186=""),"COMPLETE ROW",IF(COUNTIF(Clients!$A$5:$A$404,C1186)=0,"CLIENT NOT FOUND",IF(COUNTIFS(Clients!$A$5:$A$404,C1186,Clients!$B$5:$B$404,"Active")=0,"CLIENT NOT ACTIVE",IF(COUNTIF(Teams!$A$5:$A$104,D1186)=0,"TEAM NOT FOUND","OK")))))</x:f>
      </x:c>
    </x:row>
    <x:row r="1187">
      <x:c r="E1187" s="102"/>
      <x:c r="G1187" s="100" t="str">
        <x:f>IF(COUNTA(A1187:F1187)=0,"",IF(OR(A1187="",B1187="",C1187="",D1187=""),"COMPLETE ROW",IF(COUNTIF(Clients!$A$5:$A$404,C1187)=0,"CLIENT NOT FOUND",IF(COUNTIFS(Clients!$A$5:$A$404,C1187,Clients!$B$5:$B$404,"Active")=0,"CLIENT NOT ACTIVE",IF(COUNTIF(Teams!$A$5:$A$104,D1187)=0,"TEAM NOT FOUND","OK")))))</x:f>
      </x:c>
    </x:row>
    <x:row r="1188">
      <x:c r="E1188" s="102"/>
      <x:c r="G1188" s="100" t="str">
        <x:f>IF(COUNTA(A1188:F1188)=0,"",IF(OR(A1188="",B1188="",C1188="",D1188=""),"COMPLETE ROW",IF(COUNTIF(Clients!$A$5:$A$404,C1188)=0,"CLIENT NOT FOUND",IF(COUNTIFS(Clients!$A$5:$A$404,C1188,Clients!$B$5:$B$404,"Active")=0,"CLIENT NOT ACTIVE",IF(COUNTIF(Teams!$A$5:$A$104,D1188)=0,"TEAM NOT FOUND","OK")))))</x:f>
      </x:c>
    </x:row>
    <x:row r="1189">
      <x:c r="E1189" s="102"/>
      <x:c r="G1189" s="100" t="str">
        <x:f>IF(COUNTA(A1189:F1189)=0,"",IF(OR(A1189="",B1189="",C1189="",D1189=""),"COMPLETE ROW",IF(COUNTIF(Clients!$A$5:$A$404,C1189)=0,"CLIENT NOT FOUND",IF(COUNTIFS(Clients!$A$5:$A$404,C1189,Clients!$B$5:$B$404,"Active")=0,"CLIENT NOT ACTIVE",IF(COUNTIF(Teams!$A$5:$A$104,D1189)=0,"TEAM NOT FOUND","OK")))))</x:f>
      </x:c>
    </x:row>
    <x:row r="1190">
      <x:c r="E1190" s="102"/>
      <x:c r="G1190" s="100" t="str">
        <x:f>IF(COUNTA(A1190:F1190)=0,"",IF(OR(A1190="",B1190="",C1190="",D1190=""),"COMPLETE ROW",IF(COUNTIF(Clients!$A$5:$A$404,C1190)=0,"CLIENT NOT FOUND",IF(COUNTIFS(Clients!$A$5:$A$404,C1190,Clients!$B$5:$B$404,"Active")=0,"CLIENT NOT ACTIVE",IF(COUNTIF(Teams!$A$5:$A$104,D1190)=0,"TEAM NOT FOUND","OK")))))</x:f>
      </x:c>
    </x:row>
    <x:row r="1191">
      <x:c r="E1191" s="102"/>
      <x:c r="G1191" s="100" t="str">
        <x:f>IF(COUNTA(A1191:F1191)=0,"",IF(OR(A1191="",B1191="",C1191="",D1191=""),"COMPLETE ROW",IF(COUNTIF(Clients!$A$5:$A$404,C1191)=0,"CLIENT NOT FOUND",IF(COUNTIFS(Clients!$A$5:$A$404,C1191,Clients!$B$5:$B$404,"Active")=0,"CLIENT NOT ACTIVE",IF(COUNTIF(Teams!$A$5:$A$104,D1191)=0,"TEAM NOT FOUND","OK")))))</x:f>
      </x:c>
    </x:row>
    <x:row r="1192">
      <x:c r="E1192" s="102"/>
      <x:c r="G1192" s="100" t="str">
        <x:f>IF(COUNTA(A1192:F1192)=0,"",IF(OR(A1192="",B1192="",C1192="",D1192=""),"COMPLETE ROW",IF(COUNTIF(Clients!$A$5:$A$404,C1192)=0,"CLIENT NOT FOUND",IF(COUNTIFS(Clients!$A$5:$A$404,C1192,Clients!$B$5:$B$404,"Active")=0,"CLIENT NOT ACTIVE",IF(COUNTIF(Teams!$A$5:$A$104,D1192)=0,"TEAM NOT FOUND","OK")))))</x:f>
      </x:c>
    </x:row>
    <x:row r="1193">
      <x:c r="E1193" s="102"/>
      <x:c r="G1193" s="100" t="str">
        <x:f>IF(COUNTA(A1193:F1193)=0,"",IF(OR(A1193="",B1193="",C1193="",D1193=""),"COMPLETE ROW",IF(COUNTIF(Clients!$A$5:$A$404,C1193)=0,"CLIENT NOT FOUND",IF(COUNTIFS(Clients!$A$5:$A$404,C1193,Clients!$B$5:$B$404,"Active")=0,"CLIENT NOT ACTIVE",IF(COUNTIF(Teams!$A$5:$A$104,D1193)=0,"TEAM NOT FOUND","OK")))))</x:f>
      </x:c>
    </x:row>
    <x:row r="1194">
      <x:c r="E1194" s="102"/>
      <x:c r="G1194" s="100" t="str">
        <x:f>IF(COUNTA(A1194:F1194)=0,"",IF(OR(A1194="",B1194="",C1194="",D1194=""),"COMPLETE ROW",IF(COUNTIF(Clients!$A$5:$A$404,C1194)=0,"CLIENT NOT FOUND",IF(COUNTIFS(Clients!$A$5:$A$404,C1194,Clients!$B$5:$B$404,"Active")=0,"CLIENT NOT ACTIVE",IF(COUNTIF(Teams!$A$5:$A$104,D1194)=0,"TEAM NOT FOUND","OK")))))</x:f>
      </x:c>
    </x:row>
    <x:row r="1195">
      <x:c r="E1195" s="102"/>
      <x:c r="G1195" s="100" t="str">
        <x:f>IF(COUNTA(A1195:F1195)=0,"",IF(OR(A1195="",B1195="",C1195="",D1195=""),"COMPLETE ROW",IF(COUNTIF(Clients!$A$5:$A$404,C1195)=0,"CLIENT NOT FOUND",IF(COUNTIFS(Clients!$A$5:$A$404,C1195,Clients!$B$5:$B$404,"Active")=0,"CLIENT NOT ACTIVE",IF(COUNTIF(Teams!$A$5:$A$104,D1195)=0,"TEAM NOT FOUND","OK")))))</x:f>
      </x:c>
    </x:row>
    <x:row r="1196">
      <x:c r="E1196" s="102"/>
      <x:c r="G1196" s="100" t="str">
        <x:f>IF(COUNTA(A1196:F1196)=0,"",IF(OR(A1196="",B1196="",C1196="",D1196=""),"COMPLETE ROW",IF(COUNTIF(Clients!$A$5:$A$404,C1196)=0,"CLIENT NOT FOUND",IF(COUNTIFS(Clients!$A$5:$A$404,C1196,Clients!$B$5:$B$404,"Active")=0,"CLIENT NOT ACTIVE",IF(COUNTIF(Teams!$A$5:$A$104,D1196)=0,"TEAM NOT FOUND","OK")))))</x:f>
      </x:c>
    </x:row>
    <x:row r="1197">
      <x:c r="E1197" s="102"/>
      <x:c r="G1197" s="100" t="str">
        <x:f>IF(COUNTA(A1197:F1197)=0,"",IF(OR(A1197="",B1197="",C1197="",D1197=""),"COMPLETE ROW",IF(COUNTIF(Clients!$A$5:$A$404,C1197)=0,"CLIENT NOT FOUND",IF(COUNTIFS(Clients!$A$5:$A$404,C1197,Clients!$B$5:$B$404,"Active")=0,"CLIENT NOT ACTIVE",IF(COUNTIF(Teams!$A$5:$A$104,D1197)=0,"TEAM NOT FOUND","OK")))))</x:f>
      </x:c>
    </x:row>
    <x:row r="1198">
      <x:c r="E1198" s="102"/>
      <x:c r="G1198" s="100" t="str">
        <x:f>IF(COUNTA(A1198:F1198)=0,"",IF(OR(A1198="",B1198="",C1198="",D1198=""),"COMPLETE ROW",IF(COUNTIF(Clients!$A$5:$A$404,C1198)=0,"CLIENT NOT FOUND",IF(COUNTIFS(Clients!$A$5:$A$404,C1198,Clients!$B$5:$B$404,"Active")=0,"CLIENT NOT ACTIVE",IF(COUNTIF(Teams!$A$5:$A$104,D1198)=0,"TEAM NOT FOUND","OK")))))</x:f>
      </x:c>
    </x:row>
    <x:row r="1199">
      <x:c r="E1199" s="102"/>
      <x:c r="G1199" s="100" t="str">
        <x:f>IF(COUNTA(A1199:F1199)=0,"",IF(OR(A1199="",B1199="",C1199="",D1199=""),"COMPLETE ROW",IF(COUNTIF(Clients!$A$5:$A$404,C1199)=0,"CLIENT NOT FOUND",IF(COUNTIFS(Clients!$A$5:$A$404,C1199,Clients!$B$5:$B$404,"Active")=0,"CLIENT NOT ACTIVE",IF(COUNTIF(Teams!$A$5:$A$104,D1199)=0,"TEAM NOT FOUND","OK")))))</x:f>
      </x:c>
    </x:row>
    <x:row r="1200">
      <x:c r="E1200" s="102"/>
      <x:c r="G1200" s="100" t="str">
        <x:f>IF(COUNTA(A1200:F1200)=0,"",IF(OR(A1200="",B1200="",C1200="",D1200=""),"COMPLETE ROW",IF(COUNTIF(Clients!$A$5:$A$404,C1200)=0,"CLIENT NOT FOUND",IF(COUNTIFS(Clients!$A$5:$A$404,C1200,Clients!$B$5:$B$404,"Active")=0,"CLIENT NOT ACTIVE",IF(COUNTIF(Teams!$A$5:$A$104,D1200)=0,"TEAM NOT FOUND","OK")))))</x:f>
      </x:c>
    </x:row>
    <x:row r="1201">
      <x:c r="E1201" s="102"/>
      <x:c r="G1201" s="100" t="str">
        <x:f>IF(COUNTA(A1201:F1201)=0,"",IF(OR(A1201="",B1201="",C1201="",D1201=""),"COMPLETE ROW",IF(COUNTIF(Clients!$A$5:$A$404,C1201)=0,"CLIENT NOT FOUND",IF(COUNTIFS(Clients!$A$5:$A$404,C1201,Clients!$B$5:$B$404,"Active")=0,"CLIENT NOT ACTIVE",IF(COUNTIF(Teams!$A$5:$A$104,D1201)=0,"TEAM NOT FOUND","OK")))))</x:f>
      </x:c>
    </x:row>
    <x:row r="1202">
      <x:c r="E1202" s="102"/>
      <x:c r="G1202" s="100" t="str">
        <x:f>IF(COUNTA(A1202:F1202)=0,"",IF(OR(A1202="",B1202="",C1202="",D1202=""),"COMPLETE ROW",IF(COUNTIF(Clients!$A$5:$A$404,C1202)=0,"CLIENT NOT FOUND",IF(COUNTIFS(Clients!$A$5:$A$404,C1202,Clients!$B$5:$B$404,"Active")=0,"CLIENT NOT ACTIVE",IF(COUNTIF(Teams!$A$5:$A$104,D1202)=0,"TEAM NOT FOUND","OK")))))</x:f>
      </x:c>
    </x:row>
    <x:row r="1203">
      <x:c r="E1203" s="102"/>
      <x:c r="G1203" s="100" t="str">
        <x:f>IF(COUNTA(A1203:F1203)=0,"",IF(OR(A1203="",B1203="",C1203="",D1203=""),"COMPLETE ROW",IF(COUNTIF(Clients!$A$5:$A$404,C1203)=0,"CLIENT NOT FOUND",IF(COUNTIFS(Clients!$A$5:$A$404,C1203,Clients!$B$5:$B$404,"Active")=0,"CLIENT NOT ACTIVE",IF(COUNTIF(Teams!$A$5:$A$104,D1203)=0,"TEAM NOT FOUND","OK")))))</x:f>
      </x:c>
    </x:row>
    <x:row r="1204">
      <x:c r="E1204" s="102"/>
      <x:c r="G1204" s="100" t="str">
        <x:f>IF(COUNTA(A1204:F1204)=0,"",IF(OR(A1204="",B1204="",C1204="",D1204=""),"COMPLETE ROW",IF(COUNTIF(Clients!$A$5:$A$404,C1204)=0,"CLIENT NOT FOUND",IF(COUNTIFS(Clients!$A$5:$A$404,C1204,Clients!$B$5:$B$404,"Active")=0,"CLIENT NOT ACTIVE",IF(COUNTIF(Teams!$A$5:$A$104,D1204)=0,"TEAM NOT FOUND","OK")))))</x:f>
      </x:c>
    </x:row>
  </x:sheetData>
  <x:mergeCells>
    <x:mergeCell ref="A1:G1"/>
    <x:mergeCell ref="A2:G2"/>
  </x:mergeCells>
  <x:conditionalFormatting sqref="G5:G1204">
    <x:cfRule type="expression" dxfId="12" priority="1">
      <x:formula>AND($G5&lt;&gt;"",$G5&lt;&gt;"OK")</x:formula>
    </x:cfRule>
    <x:cfRule type="expression" dxfId="13" priority="2">
      <x:formula>$G5="OK"</x:formula>
    </x:cfRule>
  </x:conditionalFormatting>
  <x:dataValidations count="4">
    <x:dataValidation type="list" sqref="A5:A1204">
      <x:formula1>"1,2,3,4"</x:formula1>
    </x:dataValidation>
    <x:dataValidation type="list" sqref="B5:B1204">
      <x:formula1>"Monday,Tuesday,Wednesday,Thursday,Friday,Saturday"</x:formula1>
    </x:dataValidation>
    <x:dataValidation type="list" sqref="C5:C1204">
      <x:formula1>Clients!$A$5:$A$404</x:formula1>
    </x:dataValidation>
    <x:dataValidation type="list" sqref="D5:D1204">
      <x:formula1>Teams!$A$5:$A$104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18" hidden="0" customWidth="1"/>
    <x:col min="5" max="5" width="16" hidden="0" customWidth="1"/>
    <x:col min="6" max="6" width="16" hidden="0" customWidth="1"/>
    <x:col min="7" max="7" width="26" hidden="0" customWidth="1"/>
    <x:col min="8" max="8" width="18" hidden="0" customWidth="1"/>
    <x:col min="9" max="9" width="24" hidden="0" customWidth="1"/>
    <x:col min="10" max="10" width="36" hidden="0" customWidth="1"/>
    <x:col min="11" max="11" width="18" hidden="0" customWidth="1"/>
    <x:col min="12" max="12" width="28" hidden="0" customWidth="1"/>
    <x:col min="13" max="13" width="20" hidden="0" customWidth="1"/>
    <x:col min="14" max="14" width="22" hidden="0" customWidth="1"/>
    <x:col min="15" max="15" width="20" hidden="0" customWidth="1"/>
    <x:col min="16" max="16" width="16" hidden="0" customWidth="1"/>
    <x:col min="17" max="17" width="18" hidden="0" customWidth="1"/>
    <x:col min="18" max="18" width="26" hidden="0" customWidth="1"/>
    <x:col min="19" max="19" width="16" hidden="0" customWidth="1"/>
    <x:col min="20" max="20" width="16" hidden="0" customWidth="1"/>
    <x:col min="21" max="21" width="32" hidden="0" customWidth="1"/>
    <x:col min="22" max="22" width="22" hidden="0" customWidth="1"/>
  </x:cols>
  <x:sheetData>
    <x:row r="1" ht="28" customHeight="1">
      <x:c r="A1" s="4" t="str">
        <x:v>Billing Profiles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0" customHeight="1">
      <x:c r="A2" s="9" t="str">
        <x:v>Full Service only. Use one row for each company or invoicing identity used by the business.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4">
      <x:c r="A4" s="94" t="str">
        <x:v>Billing Profile</x:v>
      </x:c>
      <x:c r="B4" s="94" t="str">
        <x:v>Invoice / Company Name</x:v>
      </x:c>
      <x:c r="C4" s="94" t="str">
        <x:v>Trading Name</x:v>
      </x:c>
      <x:c r="D4" s="94" t="str">
        <x:v>Registration No.</x:v>
      </x:c>
      <x:c r="E4" s="94" t="str">
        <x:v>VAT Registered</x:v>
      </x:c>
      <x:c r="F4" s="94" t="str">
        <x:v>VAT No.</x:v>
      </x:c>
      <x:c r="G4" s="94" t="str">
        <x:v>Invoice Email</x:v>
      </x:c>
      <x:c r="H4" s="94" t="str">
        <x:v>Phone</x:v>
      </x:c>
      <x:c r="I4" s="94" t="str">
        <x:v>Website</x:v>
      </x:c>
      <x:c r="J4" s="94" t="str">
        <x:v>Invoice Address</x:v>
      </x:c>
      <x:c r="K4" s="94" t="str">
        <x:v>Default Invoice Day</x:v>
      </x:c>
      <x:c r="L4" s="94" t="str">
        <x:v>Payment Terms</x:v>
      </x:c>
      <x:c r="M4" s="94" t="str">
        <x:v>Bank Name</x:v>
      </x:c>
      <x:c r="N4" s="94" t="str">
        <x:v>Account Name</x:v>
      </x:c>
      <x:c r="O4" s="94" t="str">
        <x:v>Account Number</x:v>
      </x:c>
      <x:c r="P4" s="94" t="str">
        <x:v>Branch Code</x:v>
      </x:c>
      <x:c r="Q4" s="94" t="str">
        <x:v>Account Type</x:v>
      </x:c>
      <x:c r="R4" s="94" t="str">
        <x:v>Payment Reference</x:v>
      </x:c>
      <x:c r="S4" s="94" t="str">
        <x:v>Invoice Prefix</x:v>
      </x:c>
      <x:c r="T4" s="94" t="str">
        <x:v>Quote Prefix</x:v>
      </x:c>
      <x:c r="U4" s="94" t="str">
        <x:v>Invoice Footer</x:v>
      </x:c>
      <x:c r="V4" s="94" t="str">
        <x:v>Check</x:v>
      </x:c>
    </x:row>
    <x:row r="5">
      <x:c r="A5" t="str">
        <x:v>Main</x:v>
      </x:c>
      <x:c r="V5" s="100" t="str">
        <x:f>IF(A5="","",IF(Setup!$B$4="PLANNING ONLY","NOT USED",IF(OR(B5="",G5="",J5="",K5=""),"COMPLETE PROFILE",IF(AND(E5="Yes",F5=""),"VAT NUMBER REQUIRED","OK"))))</x:f>
        <x:v>COMPLETE PROFILE</x:v>
      </x:c>
    </x:row>
    <x:row r="6">
      <x:c r="V6" s="100" t="str">
        <x:f>IF(A6="","",IF(Setup!$B$4="PLANNING ONLY","NOT USED",IF(OR(B6="",G6="",J6="",K6=""),"COMPLETE PROFILE",IF(AND(E6="Yes",F6=""),"VAT NUMBER REQUIRED","OK"))))</x:f>
      </x:c>
    </x:row>
    <x:row r="7">
      <x:c r="V7" s="100" t="str">
        <x:f>IF(A7="","",IF(Setup!$B$4="PLANNING ONLY","NOT USED",IF(OR(B7="",G7="",J7="",K7=""),"COMPLETE PROFILE",IF(AND(E7="Yes",F7=""),"VAT NUMBER REQUIRED","OK"))))</x:f>
      </x:c>
    </x:row>
    <x:row r="8">
      <x:c r="V8" s="100" t="str">
        <x:f>IF(A8="","",IF(Setup!$B$4="PLANNING ONLY","NOT USED",IF(OR(B8="",G8="",J8="",K8=""),"COMPLETE PROFILE",IF(AND(E8="Yes",F8=""),"VAT NUMBER REQUIRED","OK"))))</x:f>
      </x:c>
    </x:row>
    <x:row r="9">
      <x:c r="V9" s="100" t="str">
        <x:f>IF(A9="","",IF(Setup!$B$4="PLANNING ONLY","NOT USED",IF(OR(B9="",G9="",J9="",K9=""),"COMPLETE PROFILE",IF(AND(E9="Yes",F9=""),"VAT NUMBER REQUIRED","OK"))))</x:f>
      </x:c>
    </x:row>
    <x:row r="10">
      <x:c r="V10" s="100" t="str">
        <x:f>IF(A10="","",IF(Setup!$B$4="PLANNING ONLY","NOT USED",IF(OR(B10="",G10="",J10="",K10=""),"COMPLETE PROFILE",IF(AND(E10="Yes",F10=""),"VAT NUMBER REQUIRED","OK"))))</x:f>
      </x:c>
    </x:row>
    <x:row r="11">
      <x:c r="V11" s="100" t="str">
        <x:f>IF(A11="","",IF(Setup!$B$4="PLANNING ONLY","NOT USED",IF(OR(B11="",G11="",J11="",K11=""),"COMPLETE PROFILE",IF(AND(E11="Yes",F11=""),"VAT NUMBER REQUIRED","OK"))))</x:f>
      </x:c>
    </x:row>
    <x:row r="12">
      <x:c r="V12" s="100" t="str">
        <x:f>IF(A12="","",IF(Setup!$B$4="PLANNING ONLY","NOT USED",IF(OR(B12="",G12="",J12="",K12=""),"COMPLETE PROFILE",IF(AND(E12="Yes",F12=""),"VAT NUMBER REQUIRED","OK"))))</x:f>
      </x:c>
    </x:row>
    <x:row r="13">
      <x:c r="V13" s="100" t="str">
        <x:f>IF(A13="","",IF(Setup!$B$4="PLANNING ONLY","NOT USED",IF(OR(B13="",G13="",J13="",K13=""),"COMPLETE PROFILE",IF(AND(E13="Yes",F13=""),"VAT NUMBER REQUIRED","OK"))))</x:f>
      </x:c>
    </x:row>
    <x:row r="14">
      <x:c r="V14" s="100" t="str">
        <x:f>IF(A14="","",IF(Setup!$B$4="PLANNING ONLY","NOT USED",IF(OR(B14="",G14="",J14="",K14=""),"COMPLETE PROFILE",IF(AND(E14="Yes",F14=""),"VAT NUMBER REQUIRED","OK"))))</x:f>
      </x:c>
    </x:row>
    <x:row r="15">
      <x:c r="V15" s="100" t="str">
        <x:f>IF(A15="","",IF(Setup!$B$4="PLANNING ONLY","NOT USED",IF(OR(B15="",G15="",J15="",K15=""),"COMPLETE PROFILE",IF(AND(E15="Yes",F15=""),"VAT NUMBER REQUIRED","OK"))))</x:f>
      </x:c>
    </x:row>
    <x:row r="16">
      <x:c r="V16" s="100" t="str">
        <x:f>IF(A16="","",IF(Setup!$B$4="PLANNING ONLY","NOT USED",IF(OR(B16="",G16="",J16="",K16=""),"COMPLETE PROFILE",IF(AND(E16="Yes",F16=""),"VAT NUMBER REQUIRED","OK"))))</x:f>
      </x:c>
    </x:row>
    <x:row r="17">
      <x:c r="V17" s="100" t="str">
        <x:f>IF(A17="","",IF(Setup!$B$4="PLANNING ONLY","NOT USED",IF(OR(B17="",G17="",J17="",K17=""),"COMPLETE PROFILE",IF(AND(E17="Yes",F17=""),"VAT NUMBER REQUIRED","OK"))))</x:f>
      </x:c>
    </x:row>
    <x:row r="18">
      <x:c r="V18" s="100" t="str">
        <x:f>IF(A18="","",IF(Setup!$B$4="PLANNING ONLY","NOT USED",IF(OR(B18="",G18="",J18="",K18=""),"COMPLETE PROFILE",IF(AND(E18="Yes",F18=""),"VAT NUMBER REQUIRED","OK"))))</x:f>
      </x:c>
    </x:row>
    <x:row r="19">
      <x:c r="V19" s="100" t="str">
        <x:f>IF(A19="","",IF(Setup!$B$4="PLANNING ONLY","NOT USED",IF(OR(B19="",G19="",J19="",K19=""),"COMPLETE PROFILE",IF(AND(E19="Yes",F19=""),"VAT NUMBER REQUIRED","OK"))))</x:f>
      </x:c>
    </x:row>
    <x:row r="20">
      <x:c r="V20" s="100" t="str">
        <x:f>IF(A20="","",IF(Setup!$B$4="PLANNING ONLY","NOT USED",IF(OR(B20="",G20="",J20="",K20=""),"COMPLETE PROFILE",IF(AND(E20="Yes",F20=""),"VAT NUMBER REQUIRED","OK"))))</x:f>
      </x:c>
    </x:row>
    <x:row r="21">
      <x:c r="V21" s="100" t="str">
        <x:f>IF(A21="","",IF(Setup!$B$4="PLANNING ONLY","NOT USED",IF(OR(B21="",G21="",J21="",K21=""),"COMPLETE PROFILE",IF(AND(E21="Yes",F21=""),"VAT NUMBER REQUIRED","OK"))))</x:f>
      </x:c>
    </x:row>
    <x:row r="22">
      <x:c r="V22" s="100" t="str">
        <x:f>IF(A22="","",IF(Setup!$B$4="PLANNING ONLY","NOT USED",IF(OR(B22="",G22="",J22="",K22=""),"COMPLETE PROFILE",IF(AND(E22="Yes",F22=""),"VAT NUMBER REQUIRED","OK"))))</x:f>
      </x:c>
    </x:row>
    <x:row r="23">
      <x:c r="V23" s="100" t="str">
        <x:f>IF(A23="","",IF(Setup!$B$4="PLANNING ONLY","NOT USED",IF(OR(B23="",G23="",J23="",K23=""),"COMPLETE PROFILE",IF(AND(E23="Yes",F23=""),"VAT NUMBER REQUIRED","OK"))))</x:f>
      </x:c>
    </x:row>
    <x:row r="24">
      <x:c r="V24" s="100" t="str">
        <x:f>IF(A24="","",IF(Setup!$B$4="PLANNING ONLY","NOT USED",IF(OR(B24="",G24="",J24="",K24=""),"COMPLETE PROFILE",IF(AND(E24="Yes",F24=""),"VAT NUMBER REQUIRED","OK"))))</x:f>
      </x:c>
    </x:row>
    <x:row r="25">
      <x:c r="V25" s="100" t="str">
        <x:f>IF(A25="","",IF(Setup!$B$4="PLANNING ONLY","NOT USED",IF(OR(B25="",G25="",J25="",K25=""),"COMPLETE PROFILE",IF(AND(E25="Yes",F25=""),"VAT NUMBER REQUIRED","OK"))))</x:f>
      </x:c>
    </x:row>
    <x:row r="26">
      <x:c r="V26" s="100" t="str">
        <x:f>IF(A26="","",IF(Setup!$B$4="PLANNING ONLY","NOT USED",IF(OR(B26="",G26="",J26="",K26=""),"COMPLETE PROFILE",IF(AND(E26="Yes",F26=""),"VAT NUMBER REQUIRED","OK"))))</x:f>
      </x:c>
    </x:row>
    <x:row r="27">
      <x:c r="V27" s="100" t="str">
        <x:f>IF(A27="","",IF(Setup!$B$4="PLANNING ONLY","NOT USED",IF(OR(B27="",G27="",J27="",K27=""),"COMPLETE PROFILE",IF(AND(E27="Yes",F27=""),"VAT NUMBER REQUIRED","OK"))))</x:f>
      </x:c>
    </x:row>
    <x:row r="28">
      <x:c r="V28" s="100" t="str">
        <x:f>IF(A28="","",IF(Setup!$B$4="PLANNING ONLY","NOT USED",IF(OR(B28="",G28="",J28="",K28=""),"COMPLETE PROFILE",IF(AND(E28="Yes",F28=""),"VAT NUMBER REQUIRED","OK"))))</x:f>
      </x:c>
    </x:row>
    <x:row r="29">
      <x:c r="V29" s="100" t="str">
        <x:f>IF(A29="","",IF(Setup!$B$4="PLANNING ONLY","NOT USED",IF(OR(B29="",G29="",J29="",K29=""),"COMPLETE PROFILE",IF(AND(E29="Yes",F29=""),"VAT NUMBER REQUIRED","OK"))))</x:f>
      </x:c>
    </x:row>
    <x:row r="30">
      <x:c r="V30" s="100" t="str">
        <x:f>IF(A30="","",IF(Setup!$B$4="PLANNING ONLY","NOT USED",IF(OR(B30="",G30="",J30="",K30=""),"COMPLETE PROFILE",IF(AND(E30="Yes",F30=""),"VAT NUMBER REQUIRED","OK"))))</x:f>
      </x:c>
    </x:row>
    <x:row r="31">
      <x:c r="V31" s="100" t="str">
        <x:f>IF(A31="","",IF(Setup!$B$4="PLANNING ONLY","NOT USED",IF(OR(B31="",G31="",J31="",K31=""),"COMPLETE PROFILE",IF(AND(E31="Yes",F31=""),"VAT NUMBER REQUIRED","OK"))))</x:f>
      </x:c>
    </x:row>
    <x:row r="32">
      <x:c r="V32" s="100" t="str">
        <x:f>IF(A32="","",IF(Setup!$B$4="PLANNING ONLY","NOT USED",IF(OR(B32="",G32="",J32="",K32=""),"COMPLETE PROFILE",IF(AND(E32="Yes",F32=""),"VAT NUMBER REQUIRED","OK"))))</x:f>
      </x:c>
    </x:row>
    <x:row r="33">
      <x:c r="V33" s="100" t="str">
        <x:f>IF(A33="","",IF(Setup!$B$4="PLANNING ONLY","NOT USED",IF(OR(B33="",G33="",J33="",K33=""),"COMPLETE PROFILE",IF(AND(E33="Yes",F33=""),"VAT NUMBER REQUIRED","OK"))))</x:f>
      </x:c>
    </x:row>
    <x:row r="34">
      <x:c r="V34" s="100" t="str">
        <x:f>IF(A34="","",IF(Setup!$B$4="PLANNING ONLY","NOT USED",IF(OR(B34="",G34="",J34="",K34=""),"COMPLETE PROFILE",IF(AND(E34="Yes",F34=""),"VAT NUMBER REQUIRED","OK"))))</x:f>
      </x:c>
    </x:row>
    <x:row r="35">
      <x:c r="V35" s="100" t="str">
        <x:f>IF(A35="","",IF(Setup!$B$4="PLANNING ONLY","NOT USED",IF(OR(B35="",G35="",J35="",K35=""),"COMPLETE PROFILE",IF(AND(E35="Yes",F35=""),"VAT NUMBER REQUIRED","OK"))))</x:f>
      </x:c>
    </x:row>
    <x:row r="36">
      <x:c r="V36" s="100" t="str">
        <x:f>IF(A36="","",IF(Setup!$B$4="PLANNING ONLY","NOT USED",IF(OR(B36="",G36="",J36="",K36=""),"COMPLETE PROFILE",IF(AND(E36="Yes",F36=""),"VAT NUMBER REQUIRED","OK"))))</x:f>
      </x:c>
    </x:row>
    <x:row r="37">
      <x:c r="V37" s="100" t="str">
        <x:f>IF(A37="","",IF(Setup!$B$4="PLANNING ONLY","NOT USED",IF(OR(B37="",G37="",J37="",K37=""),"COMPLETE PROFILE",IF(AND(E37="Yes",F37=""),"VAT NUMBER REQUIRED","OK"))))</x:f>
      </x:c>
    </x:row>
    <x:row r="38">
      <x:c r="V38" s="100" t="str">
        <x:f>IF(A38="","",IF(Setup!$B$4="PLANNING ONLY","NOT USED",IF(OR(B38="",G38="",J38="",K38=""),"COMPLETE PROFILE",IF(AND(E38="Yes",F38=""),"VAT NUMBER REQUIRED","OK"))))</x:f>
      </x:c>
    </x:row>
    <x:row r="39">
      <x:c r="V39" s="100" t="str">
        <x:f>IF(A39="","",IF(Setup!$B$4="PLANNING ONLY","NOT USED",IF(OR(B39="",G39="",J39="",K39=""),"COMPLETE PROFILE",IF(AND(E39="Yes",F39=""),"VAT NUMBER REQUIRED","OK"))))</x:f>
      </x:c>
    </x:row>
    <x:row r="40">
      <x:c r="V40" s="100" t="str">
        <x:f>IF(A40="","",IF(Setup!$B$4="PLANNING ONLY","NOT USED",IF(OR(B40="",G40="",J40="",K40=""),"COMPLETE PROFILE",IF(AND(E40="Yes",F40=""),"VAT NUMBER REQUIRED","OK"))))</x:f>
      </x:c>
    </x:row>
    <x:row r="41">
      <x:c r="V41" s="100" t="str">
        <x:f>IF(A41="","",IF(Setup!$B$4="PLANNING ONLY","NOT USED",IF(OR(B41="",G41="",J41="",K41=""),"COMPLETE PROFILE",IF(AND(E41="Yes",F41=""),"VAT NUMBER REQUIRED","OK"))))</x:f>
      </x:c>
    </x:row>
    <x:row r="42">
      <x:c r="V42" s="100" t="str">
        <x:f>IF(A42="","",IF(Setup!$B$4="PLANNING ONLY","NOT USED",IF(OR(B42="",G42="",J42="",K42=""),"COMPLETE PROFILE",IF(AND(E42="Yes",F42=""),"VAT NUMBER REQUIRED","OK"))))</x:f>
      </x:c>
    </x:row>
    <x:row r="43">
      <x:c r="V43" s="100" t="str">
        <x:f>IF(A43="","",IF(Setup!$B$4="PLANNING ONLY","NOT USED",IF(OR(B43="",G43="",J43="",K43=""),"COMPLETE PROFILE",IF(AND(E43="Yes",F43=""),"VAT NUMBER REQUIRED","OK"))))</x:f>
      </x:c>
    </x:row>
    <x:row r="44">
      <x:c r="V44" s="100" t="str">
        <x:f>IF(A44="","",IF(Setup!$B$4="PLANNING ONLY","NOT USED",IF(OR(B44="",G44="",J44="",K44=""),"COMPLETE PROFILE",IF(AND(E44="Yes",F44=""),"VAT NUMBER REQUIRED","OK"))))</x:f>
      </x:c>
    </x:row>
    <x:row r="45">
      <x:c r="V45" s="100" t="str">
        <x:f>IF(A45="","",IF(Setup!$B$4="PLANNING ONLY","NOT USED",IF(OR(B45="",G45="",J45="",K45=""),"COMPLETE PROFILE",IF(AND(E45="Yes",F45=""),"VAT NUMBER REQUIRED","OK"))))</x:f>
      </x:c>
    </x:row>
    <x:row r="46">
      <x:c r="V46" s="100" t="str">
        <x:f>IF(A46="","",IF(Setup!$B$4="PLANNING ONLY","NOT USED",IF(OR(B46="",G46="",J46="",K46=""),"COMPLETE PROFILE",IF(AND(E46="Yes",F46=""),"VAT NUMBER REQUIRED","OK"))))</x:f>
      </x:c>
    </x:row>
    <x:row r="47">
      <x:c r="V47" s="100" t="str">
        <x:f>IF(A47="","",IF(Setup!$B$4="PLANNING ONLY","NOT USED",IF(OR(B47="",G47="",J47="",K47=""),"COMPLETE PROFILE",IF(AND(E47="Yes",F47=""),"VAT NUMBER REQUIRED","OK"))))</x:f>
      </x:c>
    </x:row>
    <x:row r="48">
      <x:c r="V48" s="100" t="str">
        <x:f>IF(A48="","",IF(Setup!$B$4="PLANNING ONLY","NOT USED",IF(OR(B48="",G48="",J48="",K48=""),"COMPLETE PROFILE",IF(AND(E48="Yes",F48=""),"VAT NUMBER REQUIRED","OK"))))</x:f>
      </x:c>
    </x:row>
    <x:row r="49">
      <x:c r="V49" s="100" t="str">
        <x:f>IF(A49="","",IF(Setup!$B$4="PLANNING ONLY","NOT USED",IF(OR(B49="",G49="",J49="",K49=""),"COMPLETE PROFILE",IF(AND(E49="Yes",F49=""),"VAT NUMBER REQUIRED","OK"))))</x:f>
      </x:c>
    </x:row>
    <x:row r="50">
      <x:c r="V50" s="100" t="str">
        <x:f>IF(A50="","",IF(Setup!$B$4="PLANNING ONLY","NOT USED",IF(OR(B50="",G50="",J50="",K50=""),"COMPLETE PROFILE",IF(AND(E50="Yes",F50=""),"VAT NUMBER REQUIRED","OK"))))</x:f>
      </x:c>
    </x:row>
    <x:row r="51">
      <x:c r="V51" s="100" t="str">
        <x:f>IF(A51="","",IF(Setup!$B$4="PLANNING ONLY","NOT USED",IF(OR(B51="",G51="",J51="",K51=""),"COMPLETE PROFILE",IF(AND(E51="Yes",F51=""),"VAT NUMBER REQUIRED","OK"))))</x:f>
      </x:c>
    </x:row>
    <x:row r="52">
      <x:c r="V52" s="100" t="str">
        <x:f>IF(A52="","",IF(Setup!$B$4="PLANNING ONLY","NOT USED",IF(OR(B52="",G52="",J52="",K52=""),"COMPLETE PROFILE",IF(AND(E52="Yes",F52=""),"VAT NUMBER REQUIRED","OK"))))</x:f>
      </x:c>
    </x:row>
    <x:row r="53">
      <x:c r="V53" s="100" t="str">
        <x:f>IF(A53="","",IF(Setup!$B$4="PLANNING ONLY","NOT USED",IF(OR(B53="",G53="",J53="",K53=""),"COMPLETE PROFILE",IF(AND(E53="Yes",F53=""),"VAT NUMBER REQUIRED","OK"))))</x:f>
      </x:c>
    </x:row>
    <x:row r="54">
      <x:c r="V54" s="100" t="str">
        <x:f>IF(A54="","",IF(Setup!$B$4="PLANNING ONLY","NOT USED",IF(OR(B54="",G54="",J54="",K54=""),"COMPLETE PROFILE",IF(AND(E54="Yes",F54=""),"VAT NUMBER REQUIRED","OK"))))</x:f>
      </x:c>
    </x:row>
  </x:sheetData>
  <x:mergeCells>
    <x:mergeCell ref="A1:V1"/>
    <x:mergeCell ref="A2:V2"/>
  </x:mergeCells>
  <x:conditionalFormatting sqref="V5:V54">
    <x:cfRule type="expression" dxfId="14" priority="1">
      <x:formula>AND($V5&lt;&gt;"",$V5&lt;&gt;"OK",$V5&lt;&gt;"NOT USED")</x:formula>
    </x:cfRule>
    <x:cfRule type="expression" dxfId="15" priority="2">
      <x:formula>$V5="OK"</x:formula>
    </x:cfRule>
  </x:conditionalFormatting>
  <x:dataValidations count="3">
    <x:dataValidation type="list" sqref="E5:E54">
      <x:formula1>"Yes,No"</x:formula1>
    </x:dataValidation>
    <x:dataValidation type="list" sqref="K5:K54">
      <x:formula1>"1,2,3,4,5,6,7,8,9,10,11,12,13,14,15,16,17,18,19,20,21,22,23,24,25,26,27,28,29,30,31"</x:formula1>
    </x:dataValidation>
    <x:dataValidation type="list" sqref="Q5:Q54">
      <x:formula1>"Cheque,Savings,Transmission,Other"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22" hidden="0" customWidth="1"/>
    <x:col min="6" max="6" width="42" hidden="0" customWidth="1"/>
    <x:col min="7" max="7" width="22" hidden="0" customWidth="1"/>
  </x:cols>
  <x:sheetData>
    <x:row r="1" ht="28" customHeight="1">
      <x:c r="A1" s="4" t="str">
        <x:v>Client Billing</x:v>
      </x:c>
      <x:c r="B1" s="4"/>
      <x:c r="C1" s="4"/>
      <x:c r="D1" s="4"/>
      <x:c r="E1" s="4"/>
      <x:c r="F1" s="4"/>
      <x:c r="G1" s="4"/>
    </x:row>
    <x:row r="2" ht="30" customHeight="1">
      <x:c r="A2" s="9" t="str">
        <x:v>Full Service only. Leave Invoice Day blank to use the Billing Profile default invoice day.</x:v>
      </x:c>
      <x:c r="B2" s="9"/>
      <x:c r="C2" s="9"/>
      <x:c r="D2" s="9"/>
      <x:c r="E2" s="9"/>
      <x:c r="F2" s="9"/>
      <x:c r="G2" s="9"/>
    </x:row>
    <x:row r="4">
      <x:c r="A4" s="94" t="str">
        <x:v>Client</x:v>
      </x:c>
      <x:c r="B4" s="94" t="str">
        <x:v>Billing Profile</x:v>
      </x:c>
      <x:c r="C4" s="94" t="str">
        <x:v>Charge Basis</x:v>
      </x:c>
      <x:c r="D4" s="94" t="str">
        <x:v>Routine Charge</x:v>
      </x:c>
      <x:c r="E4" s="94" t="str">
        <x:v>Invoice Day (optional)</x:v>
      </x:c>
      <x:c r="F4" s="94" t="str">
        <x:v>Notes</x:v>
      </x:c>
      <x:c r="G4" s="94" t="str">
        <x:v>Check</x:v>
      </x:c>
    </x:row>
    <x:row r="5">
      <x:c r="D5" s="104"/>
      <x:c r="G5" s="100" t="str">
        <x:f>IF(A5="","",IF(COUNTIF($A$5:$A$404,A5)&gt;1,"DUPLICATE CLIENT",IF(COUNTIF(Clients!$A$5:$A$404,A5)=0,"CLIENT NOT FOUND",IF(B5="","CHOOSE PROFILE",IF(COUNTIF('Billing Profiles'!$A$5:$A$54,B5)=0,"PROFILE NOT FOUND",IF(OR(C5="",D5=""),"COMPLETE BILLING","OK"))))))</x:f>
      </x:c>
    </x:row>
    <x:row r="6">
      <x:c r="D6" s="104"/>
      <x:c r="G6" s="100" t="str">
        <x:f>IF(A6="","",IF(COUNTIF($A$5:$A$404,A6)&gt;1,"DUPLICATE CLIENT",IF(COUNTIF(Clients!$A$5:$A$404,A6)=0,"CLIENT NOT FOUND",IF(B6="","CHOOSE PROFILE",IF(COUNTIF('Billing Profiles'!$A$5:$A$54,B6)=0,"PROFILE NOT FOUND",IF(OR(C6="",D6=""),"COMPLETE BILLING","OK"))))))</x:f>
      </x:c>
    </x:row>
    <x:row r="7">
      <x:c r="D7" s="104"/>
      <x:c r="G7" s="100" t="str">
        <x:f>IF(A7="","",IF(COUNTIF($A$5:$A$404,A7)&gt;1,"DUPLICATE CLIENT",IF(COUNTIF(Clients!$A$5:$A$404,A7)=0,"CLIENT NOT FOUND",IF(B7="","CHOOSE PROFILE",IF(COUNTIF('Billing Profiles'!$A$5:$A$54,B7)=0,"PROFILE NOT FOUND",IF(OR(C7="",D7=""),"COMPLETE BILLING","OK"))))))</x:f>
      </x:c>
    </x:row>
    <x:row r="8">
      <x:c r="D8" s="104"/>
      <x:c r="G8" s="100" t="str">
        <x:f>IF(A8="","",IF(COUNTIF($A$5:$A$404,A8)&gt;1,"DUPLICATE CLIENT",IF(COUNTIF(Clients!$A$5:$A$404,A8)=0,"CLIENT NOT FOUND",IF(B8="","CHOOSE PROFILE",IF(COUNTIF('Billing Profiles'!$A$5:$A$54,B8)=0,"PROFILE NOT FOUND",IF(OR(C8="",D8=""),"COMPLETE BILLING","OK"))))))</x:f>
      </x:c>
    </x:row>
    <x:row r="9">
      <x:c r="D9" s="104"/>
      <x:c r="G9" s="100" t="str">
        <x:f>IF(A9="","",IF(COUNTIF($A$5:$A$404,A9)&gt;1,"DUPLICATE CLIENT",IF(COUNTIF(Clients!$A$5:$A$404,A9)=0,"CLIENT NOT FOUND",IF(B9="","CHOOSE PROFILE",IF(COUNTIF('Billing Profiles'!$A$5:$A$54,B9)=0,"PROFILE NOT FOUND",IF(OR(C9="",D9=""),"COMPLETE BILLING","OK"))))))</x:f>
      </x:c>
    </x:row>
    <x:row r="10">
      <x:c r="D10" s="104"/>
      <x:c r="G10" s="100" t="str">
        <x:f>IF(A10="","",IF(COUNTIF($A$5:$A$404,A10)&gt;1,"DUPLICATE CLIENT",IF(COUNTIF(Clients!$A$5:$A$404,A10)=0,"CLIENT NOT FOUND",IF(B10="","CHOOSE PROFILE",IF(COUNTIF('Billing Profiles'!$A$5:$A$54,B10)=0,"PROFILE NOT FOUND",IF(OR(C10="",D10=""),"COMPLETE BILLING","OK"))))))</x:f>
      </x:c>
    </x:row>
    <x:row r="11">
      <x:c r="D11" s="104"/>
      <x:c r="G11" s="100" t="str">
        <x:f>IF(A11="","",IF(COUNTIF($A$5:$A$404,A11)&gt;1,"DUPLICATE CLIENT",IF(COUNTIF(Clients!$A$5:$A$404,A11)=0,"CLIENT NOT FOUND",IF(B11="","CHOOSE PROFILE",IF(COUNTIF('Billing Profiles'!$A$5:$A$54,B11)=0,"PROFILE NOT FOUND",IF(OR(C11="",D11=""),"COMPLETE BILLING","OK"))))))</x:f>
      </x:c>
    </x:row>
    <x:row r="12">
      <x:c r="D12" s="104"/>
      <x:c r="G12" s="100" t="str">
        <x:f>IF(A12="","",IF(COUNTIF($A$5:$A$404,A12)&gt;1,"DUPLICATE CLIENT",IF(COUNTIF(Clients!$A$5:$A$404,A12)=0,"CLIENT NOT FOUND",IF(B12="","CHOOSE PROFILE",IF(COUNTIF('Billing Profiles'!$A$5:$A$54,B12)=0,"PROFILE NOT FOUND",IF(OR(C12="",D12=""),"COMPLETE BILLING","OK"))))))</x:f>
      </x:c>
    </x:row>
    <x:row r="13">
      <x:c r="D13" s="104"/>
      <x:c r="G13" s="100" t="str">
        <x:f>IF(A13="","",IF(COUNTIF($A$5:$A$404,A13)&gt;1,"DUPLICATE CLIENT",IF(COUNTIF(Clients!$A$5:$A$404,A13)=0,"CLIENT NOT FOUND",IF(B13="","CHOOSE PROFILE",IF(COUNTIF('Billing Profiles'!$A$5:$A$54,B13)=0,"PROFILE NOT FOUND",IF(OR(C13="",D13=""),"COMPLETE BILLING","OK"))))))</x:f>
      </x:c>
    </x:row>
    <x:row r="14">
      <x:c r="D14" s="104"/>
      <x:c r="G14" s="100" t="str">
        <x:f>IF(A14="","",IF(COUNTIF($A$5:$A$404,A14)&gt;1,"DUPLICATE CLIENT",IF(COUNTIF(Clients!$A$5:$A$404,A14)=0,"CLIENT NOT FOUND",IF(B14="","CHOOSE PROFILE",IF(COUNTIF('Billing Profiles'!$A$5:$A$54,B14)=0,"PROFILE NOT FOUND",IF(OR(C14="",D14=""),"COMPLETE BILLING","OK"))))))</x:f>
      </x:c>
    </x:row>
    <x:row r="15">
      <x:c r="D15" s="104"/>
      <x:c r="G15" s="100" t="str">
        <x:f>IF(A15="","",IF(COUNTIF($A$5:$A$404,A15)&gt;1,"DUPLICATE CLIENT",IF(COUNTIF(Clients!$A$5:$A$404,A15)=0,"CLIENT NOT FOUND",IF(B15="","CHOOSE PROFILE",IF(COUNTIF('Billing Profiles'!$A$5:$A$54,B15)=0,"PROFILE NOT FOUND",IF(OR(C15="",D15=""),"COMPLETE BILLING","OK"))))))</x:f>
      </x:c>
    </x:row>
    <x:row r="16">
      <x:c r="D16" s="104"/>
      <x:c r="G16" s="100" t="str">
        <x:f>IF(A16="","",IF(COUNTIF($A$5:$A$404,A16)&gt;1,"DUPLICATE CLIENT",IF(COUNTIF(Clients!$A$5:$A$404,A16)=0,"CLIENT NOT FOUND",IF(B16="","CHOOSE PROFILE",IF(COUNTIF('Billing Profiles'!$A$5:$A$54,B16)=0,"PROFILE NOT FOUND",IF(OR(C16="",D16=""),"COMPLETE BILLING","OK"))))))</x:f>
      </x:c>
    </x:row>
    <x:row r="17">
      <x:c r="D17" s="104"/>
      <x:c r="G17" s="100" t="str">
        <x:f>IF(A17="","",IF(COUNTIF($A$5:$A$404,A17)&gt;1,"DUPLICATE CLIENT",IF(COUNTIF(Clients!$A$5:$A$404,A17)=0,"CLIENT NOT FOUND",IF(B17="","CHOOSE PROFILE",IF(COUNTIF('Billing Profiles'!$A$5:$A$54,B17)=0,"PROFILE NOT FOUND",IF(OR(C17="",D17=""),"COMPLETE BILLING","OK"))))))</x:f>
      </x:c>
    </x:row>
    <x:row r="18">
      <x:c r="D18" s="104"/>
      <x:c r="G18" s="100" t="str">
        <x:f>IF(A18="","",IF(COUNTIF($A$5:$A$404,A18)&gt;1,"DUPLICATE CLIENT",IF(COUNTIF(Clients!$A$5:$A$404,A18)=0,"CLIENT NOT FOUND",IF(B18="","CHOOSE PROFILE",IF(COUNTIF('Billing Profiles'!$A$5:$A$54,B18)=0,"PROFILE NOT FOUND",IF(OR(C18="",D18=""),"COMPLETE BILLING","OK"))))))</x:f>
      </x:c>
    </x:row>
    <x:row r="19">
      <x:c r="D19" s="104"/>
      <x:c r="G19" s="100" t="str">
        <x:f>IF(A19="","",IF(COUNTIF($A$5:$A$404,A19)&gt;1,"DUPLICATE CLIENT",IF(COUNTIF(Clients!$A$5:$A$404,A19)=0,"CLIENT NOT FOUND",IF(B19="","CHOOSE PROFILE",IF(COUNTIF('Billing Profiles'!$A$5:$A$54,B19)=0,"PROFILE NOT FOUND",IF(OR(C19="",D19=""),"COMPLETE BILLING","OK"))))))</x:f>
      </x:c>
    </x:row>
    <x:row r="20">
      <x:c r="D20" s="104"/>
      <x:c r="G20" s="100" t="str">
        <x:f>IF(A20="","",IF(COUNTIF($A$5:$A$404,A20)&gt;1,"DUPLICATE CLIENT",IF(COUNTIF(Clients!$A$5:$A$404,A20)=0,"CLIENT NOT FOUND",IF(B20="","CHOOSE PROFILE",IF(COUNTIF('Billing Profiles'!$A$5:$A$54,B20)=0,"PROFILE NOT FOUND",IF(OR(C20="",D20=""),"COMPLETE BILLING","OK"))))))</x:f>
      </x:c>
    </x:row>
    <x:row r="21">
      <x:c r="D21" s="104"/>
      <x:c r="G21" s="100" t="str">
        <x:f>IF(A21="","",IF(COUNTIF($A$5:$A$404,A21)&gt;1,"DUPLICATE CLIENT",IF(COUNTIF(Clients!$A$5:$A$404,A21)=0,"CLIENT NOT FOUND",IF(B21="","CHOOSE PROFILE",IF(COUNTIF('Billing Profiles'!$A$5:$A$54,B21)=0,"PROFILE NOT FOUND",IF(OR(C21="",D21=""),"COMPLETE BILLING","OK"))))))</x:f>
      </x:c>
    </x:row>
    <x:row r="22">
      <x:c r="D22" s="104"/>
      <x:c r="G22" s="100" t="str">
        <x:f>IF(A22="","",IF(COUNTIF($A$5:$A$404,A22)&gt;1,"DUPLICATE CLIENT",IF(COUNTIF(Clients!$A$5:$A$404,A22)=0,"CLIENT NOT FOUND",IF(B22="","CHOOSE PROFILE",IF(COUNTIF('Billing Profiles'!$A$5:$A$54,B22)=0,"PROFILE NOT FOUND",IF(OR(C22="",D22=""),"COMPLETE BILLING","OK"))))))</x:f>
      </x:c>
    </x:row>
    <x:row r="23">
      <x:c r="D23" s="104"/>
      <x:c r="G23" s="100" t="str">
        <x:f>IF(A23="","",IF(COUNTIF($A$5:$A$404,A23)&gt;1,"DUPLICATE CLIENT",IF(COUNTIF(Clients!$A$5:$A$404,A23)=0,"CLIENT NOT FOUND",IF(B23="","CHOOSE PROFILE",IF(COUNTIF('Billing Profiles'!$A$5:$A$54,B23)=0,"PROFILE NOT FOUND",IF(OR(C23="",D23=""),"COMPLETE BILLING","OK"))))))</x:f>
      </x:c>
    </x:row>
    <x:row r="24">
      <x:c r="D24" s="104"/>
      <x:c r="G24" s="100" t="str">
        <x:f>IF(A24="","",IF(COUNTIF($A$5:$A$404,A24)&gt;1,"DUPLICATE CLIENT",IF(COUNTIF(Clients!$A$5:$A$404,A24)=0,"CLIENT NOT FOUND",IF(B24="","CHOOSE PROFILE",IF(COUNTIF('Billing Profiles'!$A$5:$A$54,B24)=0,"PROFILE NOT FOUND",IF(OR(C24="",D24=""),"COMPLETE BILLING","OK"))))))</x:f>
      </x:c>
    </x:row>
    <x:row r="25">
      <x:c r="D25" s="104"/>
      <x:c r="G25" s="100" t="str">
        <x:f>IF(A25="","",IF(COUNTIF($A$5:$A$404,A25)&gt;1,"DUPLICATE CLIENT",IF(COUNTIF(Clients!$A$5:$A$404,A25)=0,"CLIENT NOT FOUND",IF(B25="","CHOOSE PROFILE",IF(COUNTIF('Billing Profiles'!$A$5:$A$54,B25)=0,"PROFILE NOT FOUND",IF(OR(C25="",D25=""),"COMPLETE BILLING","OK"))))))</x:f>
      </x:c>
    </x:row>
    <x:row r="26">
      <x:c r="D26" s="104"/>
      <x:c r="G26" s="100" t="str">
        <x:f>IF(A26="","",IF(COUNTIF($A$5:$A$404,A26)&gt;1,"DUPLICATE CLIENT",IF(COUNTIF(Clients!$A$5:$A$404,A26)=0,"CLIENT NOT FOUND",IF(B26="","CHOOSE PROFILE",IF(COUNTIF('Billing Profiles'!$A$5:$A$54,B26)=0,"PROFILE NOT FOUND",IF(OR(C26="",D26=""),"COMPLETE BILLING","OK"))))))</x:f>
      </x:c>
    </x:row>
    <x:row r="27">
      <x:c r="D27" s="104"/>
      <x:c r="G27" s="100" t="str">
        <x:f>IF(A27="","",IF(COUNTIF($A$5:$A$404,A27)&gt;1,"DUPLICATE CLIENT",IF(COUNTIF(Clients!$A$5:$A$404,A27)=0,"CLIENT NOT FOUND",IF(B27="","CHOOSE PROFILE",IF(COUNTIF('Billing Profiles'!$A$5:$A$54,B27)=0,"PROFILE NOT FOUND",IF(OR(C27="",D27=""),"COMPLETE BILLING","OK"))))))</x:f>
      </x:c>
    </x:row>
    <x:row r="28">
      <x:c r="D28" s="104"/>
      <x:c r="G28" s="100" t="str">
        <x:f>IF(A28="","",IF(COUNTIF($A$5:$A$404,A28)&gt;1,"DUPLICATE CLIENT",IF(COUNTIF(Clients!$A$5:$A$404,A28)=0,"CLIENT NOT FOUND",IF(B28="","CHOOSE PROFILE",IF(COUNTIF('Billing Profiles'!$A$5:$A$54,B28)=0,"PROFILE NOT FOUND",IF(OR(C28="",D28=""),"COMPLETE BILLING","OK"))))))</x:f>
      </x:c>
    </x:row>
    <x:row r="29">
      <x:c r="D29" s="104"/>
      <x:c r="G29" s="100" t="str">
        <x:f>IF(A29="","",IF(COUNTIF($A$5:$A$404,A29)&gt;1,"DUPLICATE CLIENT",IF(COUNTIF(Clients!$A$5:$A$404,A29)=0,"CLIENT NOT FOUND",IF(B29="","CHOOSE PROFILE",IF(COUNTIF('Billing Profiles'!$A$5:$A$54,B29)=0,"PROFILE NOT FOUND",IF(OR(C29="",D29=""),"COMPLETE BILLING","OK"))))))</x:f>
      </x:c>
    </x:row>
    <x:row r="30">
      <x:c r="D30" s="104"/>
      <x:c r="G30" s="100" t="str">
        <x:f>IF(A30="","",IF(COUNTIF($A$5:$A$404,A30)&gt;1,"DUPLICATE CLIENT",IF(COUNTIF(Clients!$A$5:$A$404,A30)=0,"CLIENT NOT FOUND",IF(B30="","CHOOSE PROFILE",IF(COUNTIF('Billing Profiles'!$A$5:$A$54,B30)=0,"PROFILE NOT FOUND",IF(OR(C30="",D30=""),"COMPLETE BILLING","OK"))))))</x:f>
      </x:c>
    </x:row>
    <x:row r="31">
      <x:c r="D31" s="104"/>
      <x:c r="G31" s="100" t="str">
        <x:f>IF(A31="","",IF(COUNTIF($A$5:$A$404,A31)&gt;1,"DUPLICATE CLIENT",IF(COUNTIF(Clients!$A$5:$A$404,A31)=0,"CLIENT NOT FOUND",IF(B31="","CHOOSE PROFILE",IF(COUNTIF('Billing Profiles'!$A$5:$A$54,B31)=0,"PROFILE NOT FOUND",IF(OR(C31="",D31=""),"COMPLETE BILLING","OK"))))))</x:f>
      </x:c>
    </x:row>
    <x:row r="32">
      <x:c r="D32" s="104"/>
      <x:c r="G32" s="100" t="str">
        <x:f>IF(A32="","",IF(COUNTIF($A$5:$A$404,A32)&gt;1,"DUPLICATE CLIENT",IF(COUNTIF(Clients!$A$5:$A$404,A32)=0,"CLIENT NOT FOUND",IF(B32="","CHOOSE PROFILE",IF(COUNTIF('Billing Profiles'!$A$5:$A$54,B32)=0,"PROFILE NOT FOUND",IF(OR(C32="",D32=""),"COMPLETE BILLING","OK"))))))</x:f>
      </x:c>
    </x:row>
    <x:row r="33">
      <x:c r="D33" s="104"/>
      <x:c r="G33" s="100" t="str">
        <x:f>IF(A33="","",IF(COUNTIF($A$5:$A$404,A33)&gt;1,"DUPLICATE CLIENT",IF(COUNTIF(Clients!$A$5:$A$404,A33)=0,"CLIENT NOT FOUND",IF(B33="","CHOOSE PROFILE",IF(COUNTIF('Billing Profiles'!$A$5:$A$54,B33)=0,"PROFILE NOT FOUND",IF(OR(C33="",D33=""),"COMPLETE BILLING","OK"))))))</x:f>
      </x:c>
    </x:row>
    <x:row r="34">
      <x:c r="D34" s="104"/>
      <x:c r="G34" s="100" t="str">
        <x:f>IF(A34="","",IF(COUNTIF($A$5:$A$404,A34)&gt;1,"DUPLICATE CLIENT",IF(COUNTIF(Clients!$A$5:$A$404,A34)=0,"CLIENT NOT FOUND",IF(B34="","CHOOSE PROFILE",IF(COUNTIF('Billing Profiles'!$A$5:$A$54,B34)=0,"PROFILE NOT FOUND",IF(OR(C34="",D34=""),"COMPLETE BILLING","OK"))))))</x:f>
      </x:c>
    </x:row>
    <x:row r="35">
      <x:c r="D35" s="104"/>
      <x:c r="G35" s="100" t="str">
        <x:f>IF(A35="","",IF(COUNTIF($A$5:$A$404,A35)&gt;1,"DUPLICATE CLIENT",IF(COUNTIF(Clients!$A$5:$A$404,A35)=0,"CLIENT NOT FOUND",IF(B35="","CHOOSE PROFILE",IF(COUNTIF('Billing Profiles'!$A$5:$A$54,B35)=0,"PROFILE NOT FOUND",IF(OR(C35="",D35=""),"COMPLETE BILLING","OK"))))))</x:f>
      </x:c>
    </x:row>
    <x:row r="36">
      <x:c r="D36" s="104"/>
      <x:c r="G36" s="100" t="str">
        <x:f>IF(A36="","",IF(COUNTIF($A$5:$A$404,A36)&gt;1,"DUPLICATE CLIENT",IF(COUNTIF(Clients!$A$5:$A$404,A36)=0,"CLIENT NOT FOUND",IF(B36="","CHOOSE PROFILE",IF(COUNTIF('Billing Profiles'!$A$5:$A$54,B36)=0,"PROFILE NOT FOUND",IF(OR(C36="",D36=""),"COMPLETE BILLING","OK"))))))</x:f>
      </x:c>
    </x:row>
    <x:row r="37">
      <x:c r="D37" s="104"/>
      <x:c r="G37" s="100" t="str">
        <x:f>IF(A37="","",IF(COUNTIF($A$5:$A$404,A37)&gt;1,"DUPLICATE CLIENT",IF(COUNTIF(Clients!$A$5:$A$404,A37)=0,"CLIENT NOT FOUND",IF(B37="","CHOOSE PROFILE",IF(COUNTIF('Billing Profiles'!$A$5:$A$54,B37)=0,"PROFILE NOT FOUND",IF(OR(C37="",D37=""),"COMPLETE BILLING","OK"))))))</x:f>
      </x:c>
    </x:row>
    <x:row r="38">
      <x:c r="D38" s="104"/>
      <x:c r="G38" s="100" t="str">
        <x:f>IF(A38="","",IF(COUNTIF($A$5:$A$404,A38)&gt;1,"DUPLICATE CLIENT",IF(COUNTIF(Clients!$A$5:$A$404,A38)=0,"CLIENT NOT FOUND",IF(B38="","CHOOSE PROFILE",IF(COUNTIF('Billing Profiles'!$A$5:$A$54,B38)=0,"PROFILE NOT FOUND",IF(OR(C38="",D38=""),"COMPLETE BILLING","OK"))))))</x:f>
      </x:c>
    </x:row>
    <x:row r="39">
      <x:c r="D39" s="104"/>
      <x:c r="G39" s="100" t="str">
        <x:f>IF(A39="","",IF(COUNTIF($A$5:$A$404,A39)&gt;1,"DUPLICATE CLIENT",IF(COUNTIF(Clients!$A$5:$A$404,A39)=0,"CLIENT NOT FOUND",IF(B39="","CHOOSE PROFILE",IF(COUNTIF('Billing Profiles'!$A$5:$A$54,B39)=0,"PROFILE NOT FOUND",IF(OR(C39="",D39=""),"COMPLETE BILLING","OK"))))))</x:f>
      </x:c>
    </x:row>
    <x:row r="40">
      <x:c r="D40" s="104"/>
      <x:c r="G40" s="100" t="str">
        <x:f>IF(A40="","",IF(COUNTIF($A$5:$A$404,A40)&gt;1,"DUPLICATE CLIENT",IF(COUNTIF(Clients!$A$5:$A$404,A40)=0,"CLIENT NOT FOUND",IF(B40="","CHOOSE PROFILE",IF(COUNTIF('Billing Profiles'!$A$5:$A$54,B40)=0,"PROFILE NOT FOUND",IF(OR(C40="",D40=""),"COMPLETE BILLING","OK"))))))</x:f>
      </x:c>
    </x:row>
    <x:row r="41">
      <x:c r="D41" s="104"/>
      <x:c r="G41" s="100" t="str">
        <x:f>IF(A41="","",IF(COUNTIF($A$5:$A$404,A41)&gt;1,"DUPLICATE CLIENT",IF(COUNTIF(Clients!$A$5:$A$404,A41)=0,"CLIENT NOT FOUND",IF(B41="","CHOOSE PROFILE",IF(COUNTIF('Billing Profiles'!$A$5:$A$54,B41)=0,"PROFILE NOT FOUND",IF(OR(C41="",D41=""),"COMPLETE BILLING","OK"))))))</x:f>
      </x:c>
    </x:row>
    <x:row r="42">
      <x:c r="D42" s="104"/>
      <x:c r="G42" s="100" t="str">
        <x:f>IF(A42="","",IF(COUNTIF($A$5:$A$404,A42)&gt;1,"DUPLICATE CLIENT",IF(COUNTIF(Clients!$A$5:$A$404,A42)=0,"CLIENT NOT FOUND",IF(B42="","CHOOSE PROFILE",IF(COUNTIF('Billing Profiles'!$A$5:$A$54,B42)=0,"PROFILE NOT FOUND",IF(OR(C42="",D42=""),"COMPLETE BILLING","OK"))))))</x:f>
      </x:c>
    </x:row>
    <x:row r="43">
      <x:c r="D43" s="104"/>
      <x:c r="G43" s="100" t="str">
        <x:f>IF(A43="","",IF(COUNTIF($A$5:$A$404,A43)&gt;1,"DUPLICATE CLIENT",IF(COUNTIF(Clients!$A$5:$A$404,A43)=0,"CLIENT NOT FOUND",IF(B43="","CHOOSE PROFILE",IF(COUNTIF('Billing Profiles'!$A$5:$A$54,B43)=0,"PROFILE NOT FOUND",IF(OR(C43="",D43=""),"COMPLETE BILLING","OK"))))))</x:f>
      </x:c>
    </x:row>
    <x:row r="44">
      <x:c r="D44" s="104"/>
      <x:c r="G44" s="100" t="str">
        <x:f>IF(A44="","",IF(COUNTIF($A$5:$A$404,A44)&gt;1,"DUPLICATE CLIENT",IF(COUNTIF(Clients!$A$5:$A$404,A44)=0,"CLIENT NOT FOUND",IF(B44="","CHOOSE PROFILE",IF(COUNTIF('Billing Profiles'!$A$5:$A$54,B44)=0,"PROFILE NOT FOUND",IF(OR(C44="",D44=""),"COMPLETE BILLING","OK"))))))</x:f>
      </x:c>
    </x:row>
    <x:row r="45">
      <x:c r="D45" s="104"/>
      <x:c r="G45" s="100" t="str">
        <x:f>IF(A45="","",IF(COUNTIF($A$5:$A$404,A45)&gt;1,"DUPLICATE CLIENT",IF(COUNTIF(Clients!$A$5:$A$404,A45)=0,"CLIENT NOT FOUND",IF(B45="","CHOOSE PROFILE",IF(COUNTIF('Billing Profiles'!$A$5:$A$54,B45)=0,"PROFILE NOT FOUND",IF(OR(C45="",D45=""),"COMPLETE BILLING","OK"))))))</x:f>
      </x:c>
    </x:row>
    <x:row r="46">
      <x:c r="D46" s="104"/>
      <x:c r="G46" s="100" t="str">
        <x:f>IF(A46="","",IF(COUNTIF($A$5:$A$404,A46)&gt;1,"DUPLICATE CLIENT",IF(COUNTIF(Clients!$A$5:$A$404,A46)=0,"CLIENT NOT FOUND",IF(B46="","CHOOSE PROFILE",IF(COUNTIF('Billing Profiles'!$A$5:$A$54,B46)=0,"PROFILE NOT FOUND",IF(OR(C46="",D46=""),"COMPLETE BILLING","OK"))))))</x:f>
      </x:c>
    </x:row>
    <x:row r="47">
      <x:c r="D47" s="104"/>
      <x:c r="G47" s="100" t="str">
        <x:f>IF(A47="","",IF(COUNTIF($A$5:$A$404,A47)&gt;1,"DUPLICATE CLIENT",IF(COUNTIF(Clients!$A$5:$A$404,A47)=0,"CLIENT NOT FOUND",IF(B47="","CHOOSE PROFILE",IF(COUNTIF('Billing Profiles'!$A$5:$A$54,B47)=0,"PROFILE NOT FOUND",IF(OR(C47="",D47=""),"COMPLETE BILLING","OK"))))))</x:f>
      </x:c>
    </x:row>
    <x:row r="48">
      <x:c r="D48" s="104"/>
      <x:c r="G48" s="100" t="str">
        <x:f>IF(A48="","",IF(COUNTIF($A$5:$A$404,A48)&gt;1,"DUPLICATE CLIENT",IF(COUNTIF(Clients!$A$5:$A$404,A48)=0,"CLIENT NOT FOUND",IF(B48="","CHOOSE PROFILE",IF(COUNTIF('Billing Profiles'!$A$5:$A$54,B48)=0,"PROFILE NOT FOUND",IF(OR(C48="",D48=""),"COMPLETE BILLING","OK"))))))</x:f>
      </x:c>
    </x:row>
    <x:row r="49">
      <x:c r="D49" s="104"/>
      <x:c r="G49" s="100" t="str">
        <x:f>IF(A49="","",IF(COUNTIF($A$5:$A$404,A49)&gt;1,"DUPLICATE CLIENT",IF(COUNTIF(Clients!$A$5:$A$404,A49)=0,"CLIENT NOT FOUND",IF(B49="","CHOOSE PROFILE",IF(COUNTIF('Billing Profiles'!$A$5:$A$54,B49)=0,"PROFILE NOT FOUND",IF(OR(C49="",D49=""),"COMPLETE BILLING","OK"))))))</x:f>
      </x:c>
    </x:row>
    <x:row r="50">
      <x:c r="D50" s="104"/>
      <x:c r="G50" s="100" t="str">
        <x:f>IF(A50="","",IF(COUNTIF($A$5:$A$404,A50)&gt;1,"DUPLICATE CLIENT",IF(COUNTIF(Clients!$A$5:$A$404,A50)=0,"CLIENT NOT FOUND",IF(B50="","CHOOSE PROFILE",IF(COUNTIF('Billing Profiles'!$A$5:$A$54,B50)=0,"PROFILE NOT FOUND",IF(OR(C50="",D50=""),"COMPLETE BILLING","OK"))))))</x:f>
      </x:c>
    </x:row>
    <x:row r="51">
      <x:c r="D51" s="104"/>
      <x:c r="G51" s="100" t="str">
        <x:f>IF(A51="","",IF(COUNTIF($A$5:$A$404,A51)&gt;1,"DUPLICATE CLIENT",IF(COUNTIF(Clients!$A$5:$A$404,A51)=0,"CLIENT NOT FOUND",IF(B51="","CHOOSE PROFILE",IF(COUNTIF('Billing Profiles'!$A$5:$A$54,B51)=0,"PROFILE NOT FOUND",IF(OR(C51="",D51=""),"COMPLETE BILLING","OK"))))))</x:f>
      </x:c>
    </x:row>
    <x:row r="52">
      <x:c r="D52" s="104"/>
      <x:c r="G52" s="100" t="str">
        <x:f>IF(A52="","",IF(COUNTIF($A$5:$A$404,A52)&gt;1,"DUPLICATE CLIENT",IF(COUNTIF(Clients!$A$5:$A$404,A52)=0,"CLIENT NOT FOUND",IF(B52="","CHOOSE PROFILE",IF(COUNTIF('Billing Profiles'!$A$5:$A$54,B52)=0,"PROFILE NOT FOUND",IF(OR(C52="",D52=""),"COMPLETE BILLING","OK"))))))</x:f>
      </x:c>
    </x:row>
    <x:row r="53">
      <x:c r="D53" s="104"/>
      <x:c r="G53" s="100" t="str">
        <x:f>IF(A53="","",IF(COUNTIF($A$5:$A$404,A53)&gt;1,"DUPLICATE CLIENT",IF(COUNTIF(Clients!$A$5:$A$404,A53)=0,"CLIENT NOT FOUND",IF(B53="","CHOOSE PROFILE",IF(COUNTIF('Billing Profiles'!$A$5:$A$54,B53)=0,"PROFILE NOT FOUND",IF(OR(C53="",D53=""),"COMPLETE BILLING","OK"))))))</x:f>
      </x:c>
    </x:row>
    <x:row r="54">
      <x:c r="D54" s="104"/>
      <x:c r="G54" s="100" t="str">
        <x:f>IF(A54="","",IF(COUNTIF($A$5:$A$404,A54)&gt;1,"DUPLICATE CLIENT",IF(COUNTIF(Clients!$A$5:$A$404,A54)=0,"CLIENT NOT FOUND",IF(B54="","CHOOSE PROFILE",IF(COUNTIF('Billing Profiles'!$A$5:$A$54,B54)=0,"PROFILE NOT FOUND",IF(OR(C54="",D54=""),"COMPLETE BILLING","OK"))))))</x:f>
      </x:c>
    </x:row>
    <x:row r="55">
      <x:c r="D55" s="104"/>
      <x:c r="G55" s="100" t="str">
        <x:f>IF(A55="","",IF(COUNTIF($A$5:$A$404,A55)&gt;1,"DUPLICATE CLIENT",IF(COUNTIF(Clients!$A$5:$A$404,A55)=0,"CLIENT NOT FOUND",IF(B55="","CHOOSE PROFILE",IF(COUNTIF('Billing Profiles'!$A$5:$A$54,B55)=0,"PROFILE NOT FOUND",IF(OR(C55="",D55=""),"COMPLETE BILLING","OK"))))))</x:f>
      </x:c>
    </x:row>
    <x:row r="56">
      <x:c r="D56" s="104"/>
      <x:c r="G56" s="100" t="str">
        <x:f>IF(A56="","",IF(COUNTIF($A$5:$A$404,A56)&gt;1,"DUPLICATE CLIENT",IF(COUNTIF(Clients!$A$5:$A$404,A56)=0,"CLIENT NOT FOUND",IF(B56="","CHOOSE PROFILE",IF(COUNTIF('Billing Profiles'!$A$5:$A$54,B56)=0,"PROFILE NOT FOUND",IF(OR(C56="",D56=""),"COMPLETE BILLING","OK"))))))</x:f>
      </x:c>
    </x:row>
    <x:row r="57">
      <x:c r="D57" s="104"/>
      <x:c r="G57" s="100" t="str">
        <x:f>IF(A57="","",IF(COUNTIF($A$5:$A$404,A57)&gt;1,"DUPLICATE CLIENT",IF(COUNTIF(Clients!$A$5:$A$404,A57)=0,"CLIENT NOT FOUND",IF(B57="","CHOOSE PROFILE",IF(COUNTIF('Billing Profiles'!$A$5:$A$54,B57)=0,"PROFILE NOT FOUND",IF(OR(C57="",D57=""),"COMPLETE BILLING","OK"))))))</x:f>
      </x:c>
    </x:row>
    <x:row r="58">
      <x:c r="D58" s="104"/>
      <x:c r="G58" s="100" t="str">
        <x:f>IF(A58="","",IF(COUNTIF($A$5:$A$404,A58)&gt;1,"DUPLICATE CLIENT",IF(COUNTIF(Clients!$A$5:$A$404,A58)=0,"CLIENT NOT FOUND",IF(B58="","CHOOSE PROFILE",IF(COUNTIF('Billing Profiles'!$A$5:$A$54,B58)=0,"PROFILE NOT FOUND",IF(OR(C58="",D58=""),"COMPLETE BILLING","OK"))))))</x:f>
      </x:c>
    </x:row>
    <x:row r="59">
      <x:c r="D59" s="104"/>
      <x:c r="G59" s="100" t="str">
        <x:f>IF(A59="","",IF(COUNTIF($A$5:$A$404,A59)&gt;1,"DUPLICATE CLIENT",IF(COUNTIF(Clients!$A$5:$A$404,A59)=0,"CLIENT NOT FOUND",IF(B59="","CHOOSE PROFILE",IF(COUNTIF('Billing Profiles'!$A$5:$A$54,B59)=0,"PROFILE NOT FOUND",IF(OR(C59="",D59=""),"COMPLETE BILLING","OK"))))))</x:f>
      </x:c>
    </x:row>
    <x:row r="60">
      <x:c r="D60" s="104"/>
      <x:c r="G60" s="100" t="str">
        <x:f>IF(A60="","",IF(COUNTIF($A$5:$A$404,A60)&gt;1,"DUPLICATE CLIENT",IF(COUNTIF(Clients!$A$5:$A$404,A60)=0,"CLIENT NOT FOUND",IF(B60="","CHOOSE PROFILE",IF(COUNTIF('Billing Profiles'!$A$5:$A$54,B60)=0,"PROFILE NOT FOUND",IF(OR(C60="",D60=""),"COMPLETE BILLING","OK"))))))</x:f>
      </x:c>
    </x:row>
    <x:row r="61">
      <x:c r="D61" s="104"/>
      <x:c r="G61" s="100" t="str">
        <x:f>IF(A61="","",IF(COUNTIF($A$5:$A$404,A61)&gt;1,"DUPLICATE CLIENT",IF(COUNTIF(Clients!$A$5:$A$404,A61)=0,"CLIENT NOT FOUND",IF(B61="","CHOOSE PROFILE",IF(COUNTIF('Billing Profiles'!$A$5:$A$54,B61)=0,"PROFILE NOT FOUND",IF(OR(C61="",D61=""),"COMPLETE BILLING","OK"))))))</x:f>
      </x:c>
    </x:row>
    <x:row r="62">
      <x:c r="D62" s="104"/>
      <x:c r="G62" s="100" t="str">
        <x:f>IF(A62="","",IF(COUNTIF($A$5:$A$404,A62)&gt;1,"DUPLICATE CLIENT",IF(COUNTIF(Clients!$A$5:$A$404,A62)=0,"CLIENT NOT FOUND",IF(B62="","CHOOSE PROFILE",IF(COUNTIF('Billing Profiles'!$A$5:$A$54,B62)=0,"PROFILE NOT FOUND",IF(OR(C62="",D62=""),"COMPLETE BILLING","OK"))))))</x:f>
      </x:c>
    </x:row>
    <x:row r="63">
      <x:c r="D63" s="104"/>
      <x:c r="G63" s="100" t="str">
        <x:f>IF(A63="","",IF(COUNTIF($A$5:$A$404,A63)&gt;1,"DUPLICATE CLIENT",IF(COUNTIF(Clients!$A$5:$A$404,A63)=0,"CLIENT NOT FOUND",IF(B63="","CHOOSE PROFILE",IF(COUNTIF('Billing Profiles'!$A$5:$A$54,B63)=0,"PROFILE NOT FOUND",IF(OR(C63="",D63=""),"COMPLETE BILLING","OK"))))))</x:f>
      </x:c>
    </x:row>
    <x:row r="64">
      <x:c r="D64" s="104"/>
      <x:c r="G64" s="100" t="str">
        <x:f>IF(A64="","",IF(COUNTIF($A$5:$A$404,A64)&gt;1,"DUPLICATE CLIENT",IF(COUNTIF(Clients!$A$5:$A$404,A64)=0,"CLIENT NOT FOUND",IF(B64="","CHOOSE PROFILE",IF(COUNTIF('Billing Profiles'!$A$5:$A$54,B64)=0,"PROFILE NOT FOUND",IF(OR(C64="",D64=""),"COMPLETE BILLING","OK"))))))</x:f>
      </x:c>
    </x:row>
    <x:row r="65">
      <x:c r="D65" s="104"/>
      <x:c r="G65" s="100" t="str">
        <x:f>IF(A65="","",IF(COUNTIF($A$5:$A$404,A65)&gt;1,"DUPLICATE CLIENT",IF(COUNTIF(Clients!$A$5:$A$404,A65)=0,"CLIENT NOT FOUND",IF(B65="","CHOOSE PROFILE",IF(COUNTIF('Billing Profiles'!$A$5:$A$54,B65)=0,"PROFILE NOT FOUND",IF(OR(C65="",D65=""),"COMPLETE BILLING","OK"))))))</x:f>
      </x:c>
    </x:row>
    <x:row r="66">
      <x:c r="D66" s="104"/>
      <x:c r="G66" s="100" t="str">
        <x:f>IF(A66="","",IF(COUNTIF($A$5:$A$404,A66)&gt;1,"DUPLICATE CLIENT",IF(COUNTIF(Clients!$A$5:$A$404,A66)=0,"CLIENT NOT FOUND",IF(B66="","CHOOSE PROFILE",IF(COUNTIF('Billing Profiles'!$A$5:$A$54,B66)=0,"PROFILE NOT FOUND",IF(OR(C66="",D66=""),"COMPLETE BILLING","OK"))))))</x:f>
      </x:c>
    </x:row>
    <x:row r="67">
      <x:c r="D67" s="104"/>
      <x:c r="G67" s="100" t="str">
        <x:f>IF(A67="","",IF(COUNTIF($A$5:$A$404,A67)&gt;1,"DUPLICATE CLIENT",IF(COUNTIF(Clients!$A$5:$A$404,A67)=0,"CLIENT NOT FOUND",IF(B67="","CHOOSE PROFILE",IF(COUNTIF('Billing Profiles'!$A$5:$A$54,B67)=0,"PROFILE NOT FOUND",IF(OR(C67="",D67=""),"COMPLETE BILLING","OK"))))))</x:f>
      </x:c>
    </x:row>
    <x:row r="68">
      <x:c r="D68" s="104"/>
      <x:c r="G68" s="100" t="str">
        <x:f>IF(A68="","",IF(COUNTIF($A$5:$A$404,A68)&gt;1,"DUPLICATE CLIENT",IF(COUNTIF(Clients!$A$5:$A$404,A68)=0,"CLIENT NOT FOUND",IF(B68="","CHOOSE PROFILE",IF(COUNTIF('Billing Profiles'!$A$5:$A$54,B68)=0,"PROFILE NOT FOUND",IF(OR(C68="",D68=""),"COMPLETE BILLING","OK"))))))</x:f>
      </x:c>
    </x:row>
    <x:row r="69">
      <x:c r="D69" s="104"/>
      <x:c r="G69" s="100" t="str">
        <x:f>IF(A69="","",IF(COUNTIF($A$5:$A$404,A69)&gt;1,"DUPLICATE CLIENT",IF(COUNTIF(Clients!$A$5:$A$404,A69)=0,"CLIENT NOT FOUND",IF(B69="","CHOOSE PROFILE",IF(COUNTIF('Billing Profiles'!$A$5:$A$54,B69)=0,"PROFILE NOT FOUND",IF(OR(C69="",D69=""),"COMPLETE BILLING","OK"))))))</x:f>
      </x:c>
    </x:row>
    <x:row r="70">
      <x:c r="D70" s="104"/>
      <x:c r="G70" s="100" t="str">
        <x:f>IF(A70="","",IF(COUNTIF($A$5:$A$404,A70)&gt;1,"DUPLICATE CLIENT",IF(COUNTIF(Clients!$A$5:$A$404,A70)=0,"CLIENT NOT FOUND",IF(B70="","CHOOSE PROFILE",IF(COUNTIF('Billing Profiles'!$A$5:$A$54,B70)=0,"PROFILE NOT FOUND",IF(OR(C70="",D70=""),"COMPLETE BILLING","OK"))))))</x:f>
      </x:c>
    </x:row>
    <x:row r="71">
      <x:c r="D71" s="104"/>
      <x:c r="G71" s="100" t="str">
        <x:f>IF(A71="","",IF(COUNTIF($A$5:$A$404,A71)&gt;1,"DUPLICATE CLIENT",IF(COUNTIF(Clients!$A$5:$A$404,A71)=0,"CLIENT NOT FOUND",IF(B71="","CHOOSE PROFILE",IF(COUNTIF('Billing Profiles'!$A$5:$A$54,B71)=0,"PROFILE NOT FOUND",IF(OR(C71="",D71=""),"COMPLETE BILLING","OK"))))))</x:f>
      </x:c>
    </x:row>
    <x:row r="72">
      <x:c r="D72" s="104"/>
      <x:c r="G72" s="100" t="str">
        <x:f>IF(A72="","",IF(COUNTIF($A$5:$A$404,A72)&gt;1,"DUPLICATE CLIENT",IF(COUNTIF(Clients!$A$5:$A$404,A72)=0,"CLIENT NOT FOUND",IF(B72="","CHOOSE PROFILE",IF(COUNTIF('Billing Profiles'!$A$5:$A$54,B72)=0,"PROFILE NOT FOUND",IF(OR(C72="",D72=""),"COMPLETE BILLING","OK"))))))</x:f>
      </x:c>
    </x:row>
    <x:row r="73">
      <x:c r="D73" s="104"/>
      <x:c r="G73" s="100" t="str">
        <x:f>IF(A73="","",IF(COUNTIF($A$5:$A$404,A73)&gt;1,"DUPLICATE CLIENT",IF(COUNTIF(Clients!$A$5:$A$404,A73)=0,"CLIENT NOT FOUND",IF(B73="","CHOOSE PROFILE",IF(COUNTIF('Billing Profiles'!$A$5:$A$54,B73)=0,"PROFILE NOT FOUND",IF(OR(C73="",D73=""),"COMPLETE BILLING","OK"))))))</x:f>
      </x:c>
    </x:row>
    <x:row r="74">
      <x:c r="D74" s="104"/>
      <x:c r="G74" s="100" t="str">
        <x:f>IF(A74="","",IF(COUNTIF($A$5:$A$404,A74)&gt;1,"DUPLICATE CLIENT",IF(COUNTIF(Clients!$A$5:$A$404,A74)=0,"CLIENT NOT FOUND",IF(B74="","CHOOSE PROFILE",IF(COUNTIF('Billing Profiles'!$A$5:$A$54,B74)=0,"PROFILE NOT FOUND",IF(OR(C74="",D74=""),"COMPLETE BILLING","OK"))))))</x:f>
      </x:c>
    </x:row>
    <x:row r="75">
      <x:c r="D75" s="104"/>
      <x:c r="G75" s="100" t="str">
        <x:f>IF(A75="","",IF(COUNTIF($A$5:$A$404,A75)&gt;1,"DUPLICATE CLIENT",IF(COUNTIF(Clients!$A$5:$A$404,A75)=0,"CLIENT NOT FOUND",IF(B75="","CHOOSE PROFILE",IF(COUNTIF('Billing Profiles'!$A$5:$A$54,B75)=0,"PROFILE NOT FOUND",IF(OR(C75="",D75=""),"COMPLETE BILLING","OK"))))))</x:f>
      </x:c>
    </x:row>
    <x:row r="76">
      <x:c r="D76" s="104"/>
      <x:c r="G76" s="100" t="str">
        <x:f>IF(A76="","",IF(COUNTIF($A$5:$A$404,A76)&gt;1,"DUPLICATE CLIENT",IF(COUNTIF(Clients!$A$5:$A$404,A76)=0,"CLIENT NOT FOUND",IF(B76="","CHOOSE PROFILE",IF(COUNTIF('Billing Profiles'!$A$5:$A$54,B76)=0,"PROFILE NOT FOUND",IF(OR(C76="",D76=""),"COMPLETE BILLING","OK"))))))</x:f>
      </x:c>
    </x:row>
    <x:row r="77">
      <x:c r="D77" s="104"/>
      <x:c r="G77" s="100" t="str">
        <x:f>IF(A77="","",IF(COUNTIF($A$5:$A$404,A77)&gt;1,"DUPLICATE CLIENT",IF(COUNTIF(Clients!$A$5:$A$404,A77)=0,"CLIENT NOT FOUND",IF(B77="","CHOOSE PROFILE",IF(COUNTIF('Billing Profiles'!$A$5:$A$54,B77)=0,"PROFILE NOT FOUND",IF(OR(C77="",D77=""),"COMPLETE BILLING","OK"))))))</x:f>
      </x:c>
    </x:row>
    <x:row r="78">
      <x:c r="D78" s="104"/>
      <x:c r="G78" s="100" t="str">
        <x:f>IF(A78="","",IF(COUNTIF($A$5:$A$404,A78)&gt;1,"DUPLICATE CLIENT",IF(COUNTIF(Clients!$A$5:$A$404,A78)=0,"CLIENT NOT FOUND",IF(B78="","CHOOSE PROFILE",IF(COUNTIF('Billing Profiles'!$A$5:$A$54,B78)=0,"PROFILE NOT FOUND",IF(OR(C78="",D78=""),"COMPLETE BILLING","OK"))))))</x:f>
      </x:c>
    </x:row>
    <x:row r="79">
      <x:c r="D79" s="104"/>
      <x:c r="G79" s="100" t="str">
        <x:f>IF(A79="","",IF(COUNTIF($A$5:$A$404,A79)&gt;1,"DUPLICATE CLIENT",IF(COUNTIF(Clients!$A$5:$A$404,A79)=0,"CLIENT NOT FOUND",IF(B79="","CHOOSE PROFILE",IF(COUNTIF('Billing Profiles'!$A$5:$A$54,B79)=0,"PROFILE NOT FOUND",IF(OR(C79="",D79=""),"COMPLETE BILLING","OK"))))))</x:f>
      </x:c>
    </x:row>
    <x:row r="80">
      <x:c r="D80" s="104"/>
      <x:c r="G80" s="100" t="str">
        <x:f>IF(A80="","",IF(COUNTIF($A$5:$A$404,A80)&gt;1,"DUPLICATE CLIENT",IF(COUNTIF(Clients!$A$5:$A$404,A80)=0,"CLIENT NOT FOUND",IF(B80="","CHOOSE PROFILE",IF(COUNTIF('Billing Profiles'!$A$5:$A$54,B80)=0,"PROFILE NOT FOUND",IF(OR(C80="",D80=""),"COMPLETE BILLING","OK"))))))</x:f>
      </x:c>
    </x:row>
    <x:row r="81">
      <x:c r="D81" s="104"/>
      <x:c r="G81" s="100" t="str">
        <x:f>IF(A81="","",IF(COUNTIF($A$5:$A$404,A81)&gt;1,"DUPLICATE CLIENT",IF(COUNTIF(Clients!$A$5:$A$404,A81)=0,"CLIENT NOT FOUND",IF(B81="","CHOOSE PROFILE",IF(COUNTIF('Billing Profiles'!$A$5:$A$54,B81)=0,"PROFILE NOT FOUND",IF(OR(C81="",D81=""),"COMPLETE BILLING","OK"))))))</x:f>
      </x:c>
    </x:row>
    <x:row r="82">
      <x:c r="D82" s="104"/>
      <x:c r="G82" s="100" t="str">
        <x:f>IF(A82="","",IF(COUNTIF($A$5:$A$404,A82)&gt;1,"DUPLICATE CLIENT",IF(COUNTIF(Clients!$A$5:$A$404,A82)=0,"CLIENT NOT FOUND",IF(B82="","CHOOSE PROFILE",IF(COUNTIF('Billing Profiles'!$A$5:$A$54,B82)=0,"PROFILE NOT FOUND",IF(OR(C82="",D82=""),"COMPLETE BILLING","OK"))))))</x:f>
      </x:c>
    </x:row>
    <x:row r="83">
      <x:c r="D83" s="104"/>
      <x:c r="G83" s="100" t="str">
        <x:f>IF(A83="","",IF(COUNTIF($A$5:$A$404,A83)&gt;1,"DUPLICATE CLIENT",IF(COUNTIF(Clients!$A$5:$A$404,A83)=0,"CLIENT NOT FOUND",IF(B83="","CHOOSE PROFILE",IF(COUNTIF('Billing Profiles'!$A$5:$A$54,B83)=0,"PROFILE NOT FOUND",IF(OR(C83="",D83=""),"COMPLETE BILLING","OK"))))))</x:f>
      </x:c>
    </x:row>
    <x:row r="84">
      <x:c r="D84" s="104"/>
      <x:c r="G84" s="100" t="str">
        <x:f>IF(A84="","",IF(COUNTIF($A$5:$A$404,A84)&gt;1,"DUPLICATE CLIENT",IF(COUNTIF(Clients!$A$5:$A$404,A84)=0,"CLIENT NOT FOUND",IF(B84="","CHOOSE PROFILE",IF(COUNTIF('Billing Profiles'!$A$5:$A$54,B84)=0,"PROFILE NOT FOUND",IF(OR(C84="",D84=""),"COMPLETE BILLING","OK"))))))</x:f>
      </x:c>
    </x:row>
    <x:row r="85">
      <x:c r="D85" s="104"/>
      <x:c r="G85" s="100" t="str">
        <x:f>IF(A85="","",IF(COUNTIF($A$5:$A$404,A85)&gt;1,"DUPLICATE CLIENT",IF(COUNTIF(Clients!$A$5:$A$404,A85)=0,"CLIENT NOT FOUND",IF(B85="","CHOOSE PROFILE",IF(COUNTIF('Billing Profiles'!$A$5:$A$54,B85)=0,"PROFILE NOT FOUND",IF(OR(C85="",D85=""),"COMPLETE BILLING","OK"))))))</x:f>
      </x:c>
    </x:row>
    <x:row r="86">
      <x:c r="D86" s="104"/>
      <x:c r="G86" s="100" t="str">
        <x:f>IF(A86="","",IF(COUNTIF($A$5:$A$404,A86)&gt;1,"DUPLICATE CLIENT",IF(COUNTIF(Clients!$A$5:$A$404,A86)=0,"CLIENT NOT FOUND",IF(B86="","CHOOSE PROFILE",IF(COUNTIF('Billing Profiles'!$A$5:$A$54,B86)=0,"PROFILE NOT FOUND",IF(OR(C86="",D86=""),"COMPLETE BILLING","OK"))))))</x:f>
      </x:c>
    </x:row>
    <x:row r="87">
      <x:c r="D87" s="104"/>
      <x:c r="G87" s="100" t="str">
        <x:f>IF(A87="","",IF(COUNTIF($A$5:$A$404,A87)&gt;1,"DUPLICATE CLIENT",IF(COUNTIF(Clients!$A$5:$A$404,A87)=0,"CLIENT NOT FOUND",IF(B87="","CHOOSE PROFILE",IF(COUNTIF('Billing Profiles'!$A$5:$A$54,B87)=0,"PROFILE NOT FOUND",IF(OR(C87="",D87=""),"COMPLETE BILLING","OK"))))))</x:f>
      </x:c>
    </x:row>
    <x:row r="88">
      <x:c r="D88" s="104"/>
      <x:c r="G88" s="100" t="str">
        <x:f>IF(A88="","",IF(COUNTIF($A$5:$A$404,A88)&gt;1,"DUPLICATE CLIENT",IF(COUNTIF(Clients!$A$5:$A$404,A88)=0,"CLIENT NOT FOUND",IF(B88="","CHOOSE PROFILE",IF(COUNTIF('Billing Profiles'!$A$5:$A$54,B88)=0,"PROFILE NOT FOUND",IF(OR(C88="",D88=""),"COMPLETE BILLING","OK"))))))</x:f>
      </x:c>
    </x:row>
    <x:row r="89">
      <x:c r="D89" s="104"/>
      <x:c r="G89" s="100" t="str">
        <x:f>IF(A89="","",IF(COUNTIF($A$5:$A$404,A89)&gt;1,"DUPLICATE CLIENT",IF(COUNTIF(Clients!$A$5:$A$404,A89)=0,"CLIENT NOT FOUND",IF(B89="","CHOOSE PROFILE",IF(COUNTIF('Billing Profiles'!$A$5:$A$54,B89)=0,"PROFILE NOT FOUND",IF(OR(C89="",D89=""),"COMPLETE BILLING","OK"))))))</x:f>
      </x:c>
    </x:row>
    <x:row r="90">
      <x:c r="D90" s="104"/>
      <x:c r="G90" s="100" t="str">
        <x:f>IF(A90="","",IF(COUNTIF($A$5:$A$404,A90)&gt;1,"DUPLICATE CLIENT",IF(COUNTIF(Clients!$A$5:$A$404,A90)=0,"CLIENT NOT FOUND",IF(B90="","CHOOSE PROFILE",IF(COUNTIF('Billing Profiles'!$A$5:$A$54,B90)=0,"PROFILE NOT FOUND",IF(OR(C90="",D90=""),"COMPLETE BILLING","OK"))))))</x:f>
      </x:c>
    </x:row>
    <x:row r="91">
      <x:c r="D91" s="104"/>
      <x:c r="G91" s="100" t="str">
        <x:f>IF(A91="","",IF(COUNTIF($A$5:$A$404,A91)&gt;1,"DUPLICATE CLIENT",IF(COUNTIF(Clients!$A$5:$A$404,A91)=0,"CLIENT NOT FOUND",IF(B91="","CHOOSE PROFILE",IF(COUNTIF('Billing Profiles'!$A$5:$A$54,B91)=0,"PROFILE NOT FOUND",IF(OR(C91="",D91=""),"COMPLETE BILLING","OK"))))))</x:f>
      </x:c>
    </x:row>
    <x:row r="92">
      <x:c r="D92" s="104"/>
      <x:c r="G92" s="100" t="str">
        <x:f>IF(A92="","",IF(COUNTIF($A$5:$A$404,A92)&gt;1,"DUPLICATE CLIENT",IF(COUNTIF(Clients!$A$5:$A$404,A92)=0,"CLIENT NOT FOUND",IF(B92="","CHOOSE PROFILE",IF(COUNTIF('Billing Profiles'!$A$5:$A$54,B92)=0,"PROFILE NOT FOUND",IF(OR(C92="",D92=""),"COMPLETE BILLING","OK"))))))</x:f>
      </x:c>
    </x:row>
    <x:row r="93">
      <x:c r="D93" s="104"/>
      <x:c r="G93" s="100" t="str">
        <x:f>IF(A93="","",IF(COUNTIF($A$5:$A$404,A93)&gt;1,"DUPLICATE CLIENT",IF(COUNTIF(Clients!$A$5:$A$404,A93)=0,"CLIENT NOT FOUND",IF(B93="","CHOOSE PROFILE",IF(COUNTIF('Billing Profiles'!$A$5:$A$54,B93)=0,"PROFILE NOT FOUND",IF(OR(C93="",D93=""),"COMPLETE BILLING","OK"))))))</x:f>
      </x:c>
    </x:row>
    <x:row r="94">
      <x:c r="D94" s="104"/>
      <x:c r="G94" s="100" t="str">
        <x:f>IF(A94="","",IF(COUNTIF($A$5:$A$404,A94)&gt;1,"DUPLICATE CLIENT",IF(COUNTIF(Clients!$A$5:$A$404,A94)=0,"CLIENT NOT FOUND",IF(B94="","CHOOSE PROFILE",IF(COUNTIF('Billing Profiles'!$A$5:$A$54,B94)=0,"PROFILE NOT FOUND",IF(OR(C94="",D94=""),"COMPLETE BILLING","OK"))))))</x:f>
      </x:c>
    </x:row>
    <x:row r="95">
      <x:c r="D95" s="104"/>
      <x:c r="G95" s="100" t="str">
        <x:f>IF(A95="","",IF(COUNTIF($A$5:$A$404,A95)&gt;1,"DUPLICATE CLIENT",IF(COUNTIF(Clients!$A$5:$A$404,A95)=0,"CLIENT NOT FOUND",IF(B95="","CHOOSE PROFILE",IF(COUNTIF('Billing Profiles'!$A$5:$A$54,B95)=0,"PROFILE NOT FOUND",IF(OR(C95="",D95=""),"COMPLETE BILLING","OK"))))))</x:f>
      </x:c>
    </x:row>
    <x:row r="96">
      <x:c r="D96" s="104"/>
      <x:c r="G96" s="100" t="str">
        <x:f>IF(A96="","",IF(COUNTIF($A$5:$A$404,A96)&gt;1,"DUPLICATE CLIENT",IF(COUNTIF(Clients!$A$5:$A$404,A96)=0,"CLIENT NOT FOUND",IF(B96="","CHOOSE PROFILE",IF(COUNTIF('Billing Profiles'!$A$5:$A$54,B96)=0,"PROFILE NOT FOUND",IF(OR(C96="",D96=""),"COMPLETE BILLING","OK"))))))</x:f>
      </x:c>
    </x:row>
    <x:row r="97">
      <x:c r="D97" s="104"/>
      <x:c r="G97" s="100" t="str">
        <x:f>IF(A97="","",IF(COUNTIF($A$5:$A$404,A97)&gt;1,"DUPLICATE CLIENT",IF(COUNTIF(Clients!$A$5:$A$404,A97)=0,"CLIENT NOT FOUND",IF(B97="","CHOOSE PROFILE",IF(COUNTIF('Billing Profiles'!$A$5:$A$54,B97)=0,"PROFILE NOT FOUND",IF(OR(C97="",D97=""),"COMPLETE BILLING","OK"))))))</x:f>
      </x:c>
    </x:row>
    <x:row r="98">
      <x:c r="D98" s="104"/>
      <x:c r="G98" s="100" t="str">
        <x:f>IF(A98="","",IF(COUNTIF($A$5:$A$404,A98)&gt;1,"DUPLICATE CLIENT",IF(COUNTIF(Clients!$A$5:$A$404,A98)=0,"CLIENT NOT FOUND",IF(B98="","CHOOSE PROFILE",IF(COUNTIF('Billing Profiles'!$A$5:$A$54,B98)=0,"PROFILE NOT FOUND",IF(OR(C98="",D98=""),"COMPLETE BILLING","OK"))))))</x:f>
      </x:c>
    </x:row>
    <x:row r="99">
      <x:c r="D99" s="104"/>
      <x:c r="G99" s="100" t="str">
        <x:f>IF(A99="","",IF(COUNTIF($A$5:$A$404,A99)&gt;1,"DUPLICATE CLIENT",IF(COUNTIF(Clients!$A$5:$A$404,A99)=0,"CLIENT NOT FOUND",IF(B99="","CHOOSE PROFILE",IF(COUNTIF('Billing Profiles'!$A$5:$A$54,B99)=0,"PROFILE NOT FOUND",IF(OR(C99="",D99=""),"COMPLETE BILLING","OK"))))))</x:f>
      </x:c>
    </x:row>
    <x:row r="100">
      <x:c r="D100" s="104"/>
      <x:c r="G100" s="100" t="str">
        <x:f>IF(A100="","",IF(COUNTIF($A$5:$A$404,A100)&gt;1,"DUPLICATE CLIENT",IF(COUNTIF(Clients!$A$5:$A$404,A100)=0,"CLIENT NOT FOUND",IF(B100="","CHOOSE PROFILE",IF(COUNTIF('Billing Profiles'!$A$5:$A$54,B100)=0,"PROFILE NOT FOUND",IF(OR(C100="",D100=""),"COMPLETE BILLING","OK"))))))</x:f>
      </x:c>
    </x:row>
    <x:row r="101">
      <x:c r="D101" s="104"/>
      <x:c r="G101" s="100" t="str">
        <x:f>IF(A101="","",IF(COUNTIF($A$5:$A$404,A101)&gt;1,"DUPLICATE CLIENT",IF(COUNTIF(Clients!$A$5:$A$404,A101)=0,"CLIENT NOT FOUND",IF(B101="","CHOOSE PROFILE",IF(COUNTIF('Billing Profiles'!$A$5:$A$54,B101)=0,"PROFILE NOT FOUND",IF(OR(C101="",D101=""),"COMPLETE BILLING","OK"))))))</x:f>
      </x:c>
    </x:row>
    <x:row r="102">
      <x:c r="D102" s="104"/>
      <x:c r="G102" s="100" t="str">
        <x:f>IF(A102="","",IF(COUNTIF($A$5:$A$404,A102)&gt;1,"DUPLICATE CLIENT",IF(COUNTIF(Clients!$A$5:$A$404,A102)=0,"CLIENT NOT FOUND",IF(B102="","CHOOSE PROFILE",IF(COUNTIF('Billing Profiles'!$A$5:$A$54,B102)=0,"PROFILE NOT FOUND",IF(OR(C102="",D102=""),"COMPLETE BILLING","OK"))))))</x:f>
      </x:c>
    </x:row>
    <x:row r="103">
      <x:c r="D103" s="104"/>
      <x:c r="G103" s="100" t="str">
        <x:f>IF(A103="","",IF(COUNTIF($A$5:$A$404,A103)&gt;1,"DUPLICATE CLIENT",IF(COUNTIF(Clients!$A$5:$A$404,A103)=0,"CLIENT NOT FOUND",IF(B103="","CHOOSE PROFILE",IF(COUNTIF('Billing Profiles'!$A$5:$A$54,B103)=0,"PROFILE NOT FOUND",IF(OR(C103="",D103=""),"COMPLETE BILLING","OK"))))))</x:f>
      </x:c>
    </x:row>
    <x:row r="104">
      <x:c r="D104" s="104"/>
      <x:c r="G104" s="100" t="str">
        <x:f>IF(A104="","",IF(COUNTIF($A$5:$A$404,A104)&gt;1,"DUPLICATE CLIENT",IF(COUNTIF(Clients!$A$5:$A$404,A104)=0,"CLIENT NOT FOUND",IF(B104="","CHOOSE PROFILE",IF(COUNTIF('Billing Profiles'!$A$5:$A$54,B104)=0,"PROFILE NOT FOUND",IF(OR(C104="",D104=""),"COMPLETE BILLING","OK"))))))</x:f>
      </x:c>
    </x:row>
    <x:row r="105">
      <x:c r="D105" s="104"/>
      <x:c r="G105" s="100" t="str">
        <x:f>IF(A105="","",IF(COUNTIF($A$5:$A$404,A105)&gt;1,"DUPLICATE CLIENT",IF(COUNTIF(Clients!$A$5:$A$404,A105)=0,"CLIENT NOT FOUND",IF(B105="","CHOOSE PROFILE",IF(COUNTIF('Billing Profiles'!$A$5:$A$54,B105)=0,"PROFILE NOT FOUND",IF(OR(C105="",D105=""),"COMPLETE BILLING","OK"))))))</x:f>
      </x:c>
    </x:row>
    <x:row r="106">
      <x:c r="D106" s="104"/>
      <x:c r="G106" s="100" t="str">
        <x:f>IF(A106="","",IF(COUNTIF($A$5:$A$404,A106)&gt;1,"DUPLICATE CLIENT",IF(COUNTIF(Clients!$A$5:$A$404,A106)=0,"CLIENT NOT FOUND",IF(B106="","CHOOSE PROFILE",IF(COUNTIF('Billing Profiles'!$A$5:$A$54,B106)=0,"PROFILE NOT FOUND",IF(OR(C106="",D106=""),"COMPLETE BILLING","OK"))))))</x:f>
      </x:c>
    </x:row>
    <x:row r="107">
      <x:c r="D107" s="104"/>
      <x:c r="G107" s="100" t="str">
        <x:f>IF(A107="","",IF(COUNTIF($A$5:$A$404,A107)&gt;1,"DUPLICATE CLIENT",IF(COUNTIF(Clients!$A$5:$A$404,A107)=0,"CLIENT NOT FOUND",IF(B107="","CHOOSE PROFILE",IF(COUNTIF('Billing Profiles'!$A$5:$A$54,B107)=0,"PROFILE NOT FOUND",IF(OR(C107="",D107=""),"COMPLETE BILLING","OK"))))))</x:f>
      </x:c>
    </x:row>
    <x:row r="108">
      <x:c r="D108" s="104"/>
      <x:c r="G108" s="100" t="str">
        <x:f>IF(A108="","",IF(COUNTIF($A$5:$A$404,A108)&gt;1,"DUPLICATE CLIENT",IF(COUNTIF(Clients!$A$5:$A$404,A108)=0,"CLIENT NOT FOUND",IF(B108="","CHOOSE PROFILE",IF(COUNTIF('Billing Profiles'!$A$5:$A$54,B108)=0,"PROFILE NOT FOUND",IF(OR(C108="",D108=""),"COMPLETE BILLING","OK"))))))</x:f>
      </x:c>
    </x:row>
    <x:row r="109">
      <x:c r="D109" s="104"/>
      <x:c r="G109" s="100" t="str">
        <x:f>IF(A109="","",IF(COUNTIF($A$5:$A$404,A109)&gt;1,"DUPLICATE CLIENT",IF(COUNTIF(Clients!$A$5:$A$404,A109)=0,"CLIENT NOT FOUND",IF(B109="","CHOOSE PROFILE",IF(COUNTIF('Billing Profiles'!$A$5:$A$54,B109)=0,"PROFILE NOT FOUND",IF(OR(C109="",D109=""),"COMPLETE BILLING","OK"))))))</x:f>
      </x:c>
    </x:row>
    <x:row r="110">
      <x:c r="D110" s="104"/>
      <x:c r="G110" s="100" t="str">
        <x:f>IF(A110="","",IF(COUNTIF($A$5:$A$404,A110)&gt;1,"DUPLICATE CLIENT",IF(COUNTIF(Clients!$A$5:$A$404,A110)=0,"CLIENT NOT FOUND",IF(B110="","CHOOSE PROFILE",IF(COUNTIF('Billing Profiles'!$A$5:$A$54,B110)=0,"PROFILE NOT FOUND",IF(OR(C110="",D110=""),"COMPLETE BILLING","OK"))))))</x:f>
      </x:c>
    </x:row>
    <x:row r="111">
      <x:c r="D111" s="104"/>
      <x:c r="G111" s="100" t="str">
        <x:f>IF(A111="","",IF(COUNTIF($A$5:$A$404,A111)&gt;1,"DUPLICATE CLIENT",IF(COUNTIF(Clients!$A$5:$A$404,A111)=0,"CLIENT NOT FOUND",IF(B111="","CHOOSE PROFILE",IF(COUNTIF('Billing Profiles'!$A$5:$A$54,B111)=0,"PROFILE NOT FOUND",IF(OR(C111="",D111=""),"COMPLETE BILLING","OK"))))))</x:f>
      </x:c>
    </x:row>
    <x:row r="112">
      <x:c r="D112" s="104"/>
      <x:c r="G112" s="100" t="str">
        <x:f>IF(A112="","",IF(COUNTIF($A$5:$A$404,A112)&gt;1,"DUPLICATE CLIENT",IF(COUNTIF(Clients!$A$5:$A$404,A112)=0,"CLIENT NOT FOUND",IF(B112="","CHOOSE PROFILE",IF(COUNTIF('Billing Profiles'!$A$5:$A$54,B112)=0,"PROFILE NOT FOUND",IF(OR(C112="",D112=""),"COMPLETE BILLING","OK"))))))</x:f>
      </x:c>
    </x:row>
    <x:row r="113">
      <x:c r="D113" s="104"/>
      <x:c r="G113" s="100" t="str">
        <x:f>IF(A113="","",IF(COUNTIF($A$5:$A$404,A113)&gt;1,"DUPLICATE CLIENT",IF(COUNTIF(Clients!$A$5:$A$404,A113)=0,"CLIENT NOT FOUND",IF(B113="","CHOOSE PROFILE",IF(COUNTIF('Billing Profiles'!$A$5:$A$54,B113)=0,"PROFILE NOT FOUND",IF(OR(C113="",D113=""),"COMPLETE BILLING","OK"))))))</x:f>
      </x:c>
    </x:row>
    <x:row r="114">
      <x:c r="D114" s="104"/>
      <x:c r="G114" s="100" t="str">
        <x:f>IF(A114="","",IF(COUNTIF($A$5:$A$404,A114)&gt;1,"DUPLICATE CLIENT",IF(COUNTIF(Clients!$A$5:$A$404,A114)=0,"CLIENT NOT FOUND",IF(B114="","CHOOSE PROFILE",IF(COUNTIF('Billing Profiles'!$A$5:$A$54,B114)=0,"PROFILE NOT FOUND",IF(OR(C114="",D114=""),"COMPLETE BILLING","OK"))))))</x:f>
      </x:c>
    </x:row>
    <x:row r="115">
      <x:c r="D115" s="104"/>
      <x:c r="G115" s="100" t="str">
        <x:f>IF(A115="","",IF(COUNTIF($A$5:$A$404,A115)&gt;1,"DUPLICATE CLIENT",IF(COUNTIF(Clients!$A$5:$A$404,A115)=0,"CLIENT NOT FOUND",IF(B115="","CHOOSE PROFILE",IF(COUNTIF('Billing Profiles'!$A$5:$A$54,B115)=0,"PROFILE NOT FOUND",IF(OR(C115="",D115=""),"COMPLETE BILLING","OK"))))))</x:f>
      </x:c>
    </x:row>
    <x:row r="116">
      <x:c r="D116" s="104"/>
      <x:c r="G116" s="100" t="str">
        <x:f>IF(A116="","",IF(COUNTIF($A$5:$A$404,A116)&gt;1,"DUPLICATE CLIENT",IF(COUNTIF(Clients!$A$5:$A$404,A116)=0,"CLIENT NOT FOUND",IF(B116="","CHOOSE PROFILE",IF(COUNTIF('Billing Profiles'!$A$5:$A$54,B116)=0,"PROFILE NOT FOUND",IF(OR(C116="",D116=""),"COMPLETE BILLING","OK"))))))</x:f>
      </x:c>
    </x:row>
    <x:row r="117">
      <x:c r="D117" s="104"/>
      <x:c r="G117" s="100" t="str">
        <x:f>IF(A117="","",IF(COUNTIF($A$5:$A$404,A117)&gt;1,"DUPLICATE CLIENT",IF(COUNTIF(Clients!$A$5:$A$404,A117)=0,"CLIENT NOT FOUND",IF(B117="","CHOOSE PROFILE",IF(COUNTIF('Billing Profiles'!$A$5:$A$54,B117)=0,"PROFILE NOT FOUND",IF(OR(C117="",D117=""),"COMPLETE BILLING","OK"))))))</x:f>
      </x:c>
    </x:row>
    <x:row r="118">
      <x:c r="D118" s="104"/>
      <x:c r="G118" s="100" t="str">
        <x:f>IF(A118="","",IF(COUNTIF($A$5:$A$404,A118)&gt;1,"DUPLICATE CLIENT",IF(COUNTIF(Clients!$A$5:$A$404,A118)=0,"CLIENT NOT FOUND",IF(B118="","CHOOSE PROFILE",IF(COUNTIF('Billing Profiles'!$A$5:$A$54,B118)=0,"PROFILE NOT FOUND",IF(OR(C118="",D118=""),"COMPLETE BILLING","OK"))))))</x:f>
      </x:c>
    </x:row>
    <x:row r="119">
      <x:c r="D119" s="104"/>
      <x:c r="G119" s="100" t="str">
        <x:f>IF(A119="","",IF(COUNTIF($A$5:$A$404,A119)&gt;1,"DUPLICATE CLIENT",IF(COUNTIF(Clients!$A$5:$A$404,A119)=0,"CLIENT NOT FOUND",IF(B119="","CHOOSE PROFILE",IF(COUNTIF('Billing Profiles'!$A$5:$A$54,B119)=0,"PROFILE NOT FOUND",IF(OR(C119="",D119=""),"COMPLETE BILLING","OK"))))))</x:f>
      </x:c>
    </x:row>
    <x:row r="120">
      <x:c r="D120" s="104"/>
      <x:c r="G120" s="100" t="str">
        <x:f>IF(A120="","",IF(COUNTIF($A$5:$A$404,A120)&gt;1,"DUPLICATE CLIENT",IF(COUNTIF(Clients!$A$5:$A$404,A120)=0,"CLIENT NOT FOUND",IF(B120="","CHOOSE PROFILE",IF(COUNTIF('Billing Profiles'!$A$5:$A$54,B120)=0,"PROFILE NOT FOUND",IF(OR(C120="",D120=""),"COMPLETE BILLING","OK"))))))</x:f>
      </x:c>
    </x:row>
    <x:row r="121">
      <x:c r="D121" s="104"/>
      <x:c r="G121" s="100" t="str">
        <x:f>IF(A121="","",IF(COUNTIF($A$5:$A$404,A121)&gt;1,"DUPLICATE CLIENT",IF(COUNTIF(Clients!$A$5:$A$404,A121)=0,"CLIENT NOT FOUND",IF(B121="","CHOOSE PROFILE",IF(COUNTIF('Billing Profiles'!$A$5:$A$54,B121)=0,"PROFILE NOT FOUND",IF(OR(C121="",D121=""),"COMPLETE BILLING","OK"))))))</x:f>
      </x:c>
    </x:row>
    <x:row r="122">
      <x:c r="D122" s="104"/>
      <x:c r="G122" s="100" t="str">
        <x:f>IF(A122="","",IF(COUNTIF($A$5:$A$404,A122)&gt;1,"DUPLICATE CLIENT",IF(COUNTIF(Clients!$A$5:$A$404,A122)=0,"CLIENT NOT FOUND",IF(B122="","CHOOSE PROFILE",IF(COUNTIF('Billing Profiles'!$A$5:$A$54,B122)=0,"PROFILE NOT FOUND",IF(OR(C122="",D122=""),"COMPLETE BILLING","OK"))))))</x:f>
      </x:c>
    </x:row>
    <x:row r="123">
      <x:c r="D123" s="104"/>
      <x:c r="G123" s="100" t="str">
        <x:f>IF(A123="","",IF(COUNTIF($A$5:$A$404,A123)&gt;1,"DUPLICATE CLIENT",IF(COUNTIF(Clients!$A$5:$A$404,A123)=0,"CLIENT NOT FOUND",IF(B123="","CHOOSE PROFILE",IF(COUNTIF('Billing Profiles'!$A$5:$A$54,B123)=0,"PROFILE NOT FOUND",IF(OR(C123="",D123=""),"COMPLETE BILLING","OK"))))))</x:f>
      </x:c>
    </x:row>
    <x:row r="124">
      <x:c r="D124" s="104"/>
      <x:c r="G124" s="100" t="str">
        <x:f>IF(A124="","",IF(COUNTIF($A$5:$A$404,A124)&gt;1,"DUPLICATE CLIENT",IF(COUNTIF(Clients!$A$5:$A$404,A124)=0,"CLIENT NOT FOUND",IF(B124="","CHOOSE PROFILE",IF(COUNTIF('Billing Profiles'!$A$5:$A$54,B124)=0,"PROFILE NOT FOUND",IF(OR(C124="",D124=""),"COMPLETE BILLING","OK"))))))</x:f>
      </x:c>
    </x:row>
    <x:row r="125">
      <x:c r="D125" s="104"/>
      <x:c r="G125" s="100" t="str">
        <x:f>IF(A125="","",IF(COUNTIF($A$5:$A$404,A125)&gt;1,"DUPLICATE CLIENT",IF(COUNTIF(Clients!$A$5:$A$404,A125)=0,"CLIENT NOT FOUND",IF(B125="","CHOOSE PROFILE",IF(COUNTIF('Billing Profiles'!$A$5:$A$54,B125)=0,"PROFILE NOT FOUND",IF(OR(C125="",D125=""),"COMPLETE BILLING","OK"))))))</x:f>
      </x:c>
    </x:row>
    <x:row r="126">
      <x:c r="D126" s="104"/>
      <x:c r="G126" s="100" t="str">
        <x:f>IF(A126="","",IF(COUNTIF($A$5:$A$404,A126)&gt;1,"DUPLICATE CLIENT",IF(COUNTIF(Clients!$A$5:$A$404,A126)=0,"CLIENT NOT FOUND",IF(B126="","CHOOSE PROFILE",IF(COUNTIF('Billing Profiles'!$A$5:$A$54,B126)=0,"PROFILE NOT FOUND",IF(OR(C126="",D126=""),"COMPLETE BILLING","OK"))))))</x:f>
      </x:c>
    </x:row>
    <x:row r="127">
      <x:c r="D127" s="104"/>
      <x:c r="G127" s="100" t="str">
        <x:f>IF(A127="","",IF(COUNTIF($A$5:$A$404,A127)&gt;1,"DUPLICATE CLIENT",IF(COUNTIF(Clients!$A$5:$A$404,A127)=0,"CLIENT NOT FOUND",IF(B127="","CHOOSE PROFILE",IF(COUNTIF('Billing Profiles'!$A$5:$A$54,B127)=0,"PROFILE NOT FOUND",IF(OR(C127="",D127=""),"COMPLETE BILLING","OK"))))))</x:f>
      </x:c>
    </x:row>
    <x:row r="128">
      <x:c r="D128" s="104"/>
      <x:c r="G128" s="100" t="str">
        <x:f>IF(A128="","",IF(COUNTIF($A$5:$A$404,A128)&gt;1,"DUPLICATE CLIENT",IF(COUNTIF(Clients!$A$5:$A$404,A128)=0,"CLIENT NOT FOUND",IF(B128="","CHOOSE PROFILE",IF(COUNTIF('Billing Profiles'!$A$5:$A$54,B128)=0,"PROFILE NOT FOUND",IF(OR(C128="",D128=""),"COMPLETE BILLING","OK"))))))</x:f>
      </x:c>
    </x:row>
    <x:row r="129">
      <x:c r="D129" s="104"/>
      <x:c r="G129" s="100" t="str">
        <x:f>IF(A129="","",IF(COUNTIF($A$5:$A$404,A129)&gt;1,"DUPLICATE CLIENT",IF(COUNTIF(Clients!$A$5:$A$404,A129)=0,"CLIENT NOT FOUND",IF(B129="","CHOOSE PROFILE",IF(COUNTIF('Billing Profiles'!$A$5:$A$54,B129)=0,"PROFILE NOT FOUND",IF(OR(C129="",D129=""),"COMPLETE BILLING","OK"))))))</x:f>
      </x:c>
    </x:row>
    <x:row r="130">
      <x:c r="D130" s="104"/>
      <x:c r="G130" s="100" t="str">
        <x:f>IF(A130="","",IF(COUNTIF($A$5:$A$404,A130)&gt;1,"DUPLICATE CLIENT",IF(COUNTIF(Clients!$A$5:$A$404,A130)=0,"CLIENT NOT FOUND",IF(B130="","CHOOSE PROFILE",IF(COUNTIF('Billing Profiles'!$A$5:$A$54,B130)=0,"PROFILE NOT FOUND",IF(OR(C130="",D130=""),"COMPLETE BILLING","OK"))))))</x:f>
      </x:c>
    </x:row>
    <x:row r="131">
      <x:c r="D131" s="104"/>
      <x:c r="G131" s="100" t="str">
        <x:f>IF(A131="","",IF(COUNTIF($A$5:$A$404,A131)&gt;1,"DUPLICATE CLIENT",IF(COUNTIF(Clients!$A$5:$A$404,A131)=0,"CLIENT NOT FOUND",IF(B131="","CHOOSE PROFILE",IF(COUNTIF('Billing Profiles'!$A$5:$A$54,B131)=0,"PROFILE NOT FOUND",IF(OR(C131="",D131=""),"COMPLETE BILLING","OK"))))))</x:f>
      </x:c>
    </x:row>
    <x:row r="132">
      <x:c r="D132" s="104"/>
      <x:c r="G132" s="100" t="str">
        <x:f>IF(A132="","",IF(COUNTIF($A$5:$A$404,A132)&gt;1,"DUPLICATE CLIENT",IF(COUNTIF(Clients!$A$5:$A$404,A132)=0,"CLIENT NOT FOUND",IF(B132="","CHOOSE PROFILE",IF(COUNTIF('Billing Profiles'!$A$5:$A$54,B132)=0,"PROFILE NOT FOUND",IF(OR(C132="",D132=""),"COMPLETE BILLING","OK"))))))</x:f>
      </x:c>
    </x:row>
    <x:row r="133">
      <x:c r="D133" s="104"/>
      <x:c r="G133" s="100" t="str">
        <x:f>IF(A133="","",IF(COUNTIF($A$5:$A$404,A133)&gt;1,"DUPLICATE CLIENT",IF(COUNTIF(Clients!$A$5:$A$404,A133)=0,"CLIENT NOT FOUND",IF(B133="","CHOOSE PROFILE",IF(COUNTIF('Billing Profiles'!$A$5:$A$54,B133)=0,"PROFILE NOT FOUND",IF(OR(C133="",D133=""),"COMPLETE BILLING","OK"))))))</x:f>
      </x:c>
    </x:row>
    <x:row r="134">
      <x:c r="D134" s="104"/>
      <x:c r="G134" s="100" t="str">
        <x:f>IF(A134="","",IF(COUNTIF($A$5:$A$404,A134)&gt;1,"DUPLICATE CLIENT",IF(COUNTIF(Clients!$A$5:$A$404,A134)=0,"CLIENT NOT FOUND",IF(B134="","CHOOSE PROFILE",IF(COUNTIF('Billing Profiles'!$A$5:$A$54,B134)=0,"PROFILE NOT FOUND",IF(OR(C134="",D134=""),"COMPLETE BILLING","OK"))))))</x:f>
      </x:c>
    </x:row>
    <x:row r="135">
      <x:c r="D135" s="104"/>
      <x:c r="G135" s="100" t="str">
        <x:f>IF(A135="","",IF(COUNTIF($A$5:$A$404,A135)&gt;1,"DUPLICATE CLIENT",IF(COUNTIF(Clients!$A$5:$A$404,A135)=0,"CLIENT NOT FOUND",IF(B135="","CHOOSE PROFILE",IF(COUNTIF('Billing Profiles'!$A$5:$A$54,B135)=0,"PROFILE NOT FOUND",IF(OR(C135="",D135=""),"COMPLETE BILLING","OK"))))))</x:f>
      </x:c>
    </x:row>
    <x:row r="136">
      <x:c r="D136" s="104"/>
      <x:c r="G136" s="100" t="str">
        <x:f>IF(A136="","",IF(COUNTIF($A$5:$A$404,A136)&gt;1,"DUPLICATE CLIENT",IF(COUNTIF(Clients!$A$5:$A$404,A136)=0,"CLIENT NOT FOUND",IF(B136="","CHOOSE PROFILE",IF(COUNTIF('Billing Profiles'!$A$5:$A$54,B136)=0,"PROFILE NOT FOUND",IF(OR(C136="",D136=""),"COMPLETE BILLING","OK"))))))</x:f>
      </x:c>
    </x:row>
    <x:row r="137">
      <x:c r="D137" s="104"/>
      <x:c r="G137" s="100" t="str">
        <x:f>IF(A137="","",IF(COUNTIF($A$5:$A$404,A137)&gt;1,"DUPLICATE CLIENT",IF(COUNTIF(Clients!$A$5:$A$404,A137)=0,"CLIENT NOT FOUND",IF(B137="","CHOOSE PROFILE",IF(COUNTIF('Billing Profiles'!$A$5:$A$54,B137)=0,"PROFILE NOT FOUND",IF(OR(C137="",D137=""),"COMPLETE BILLING","OK"))))))</x:f>
      </x:c>
    </x:row>
    <x:row r="138">
      <x:c r="D138" s="104"/>
      <x:c r="G138" s="100" t="str">
        <x:f>IF(A138="","",IF(COUNTIF($A$5:$A$404,A138)&gt;1,"DUPLICATE CLIENT",IF(COUNTIF(Clients!$A$5:$A$404,A138)=0,"CLIENT NOT FOUND",IF(B138="","CHOOSE PROFILE",IF(COUNTIF('Billing Profiles'!$A$5:$A$54,B138)=0,"PROFILE NOT FOUND",IF(OR(C138="",D138=""),"COMPLETE BILLING","OK"))))))</x:f>
      </x:c>
    </x:row>
    <x:row r="139">
      <x:c r="D139" s="104"/>
      <x:c r="G139" s="100" t="str">
        <x:f>IF(A139="","",IF(COUNTIF($A$5:$A$404,A139)&gt;1,"DUPLICATE CLIENT",IF(COUNTIF(Clients!$A$5:$A$404,A139)=0,"CLIENT NOT FOUND",IF(B139="","CHOOSE PROFILE",IF(COUNTIF('Billing Profiles'!$A$5:$A$54,B139)=0,"PROFILE NOT FOUND",IF(OR(C139="",D139=""),"COMPLETE BILLING","OK"))))))</x:f>
      </x:c>
    </x:row>
    <x:row r="140">
      <x:c r="D140" s="104"/>
      <x:c r="G140" s="100" t="str">
        <x:f>IF(A140="","",IF(COUNTIF($A$5:$A$404,A140)&gt;1,"DUPLICATE CLIENT",IF(COUNTIF(Clients!$A$5:$A$404,A140)=0,"CLIENT NOT FOUND",IF(B140="","CHOOSE PROFILE",IF(COUNTIF('Billing Profiles'!$A$5:$A$54,B140)=0,"PROFILE NOT FOUND",IF(OR(C140="",D140=""),"COMPLETE BILLING","OK"))))))</x:f>
      </x:c>
    </x:row>
    <x:row r="141">
      <x:c r="D141" s="104"/>
      <x:c r="G141" s="100" t="str">
        <x:f>IF(A141="","",IF(COUNTIF($A$5:$A$404,A141)&gt;1,"DUPLICATE CLIENT",IF(COUNTIF(Clients!$A$5:$A$404,A141)=0,"CLIENT NOT FOUND",IF(B141="","CHOOSE PROFILE",IF(COUNTIF('Billing Profiles'!$A$5:$A$54,B141)=0,"PROFILE NOT FOUND",IF(OR(C141="",D141=""),"COMPLETE BILLING","OK"))))))</x:f>
      </x:c>
    </x:row>
    <x:row r="142">
      <x:c r="D142" s="104"/>
      <x:c r="G142" s="100" t="str">
        <x:f>IF(A142="","",IF(COUNTIF($A$5:$A$404,A142)&gt;1,"DUPLICATE CLIENT",IF(COUNTIF(Clients!$A$5:$A$404,A142)=0,"CLIENT NOT FOUND",IF(B142="","CHOOSE PROFILE",IF(COUNTIF('Billing Profiles'!$A$5:$A$54,B142)=0,"PROFILE NOT FOUND",IF(OR(C142="",D142=""),"COMPLETE BILLING","OK"))))))</x:f>
      </x:c>
    </x:row>
    <x:row r="143">
      <x:c r="D143" s="104"/>
      <x:c r="G143" s="100" t="str">
        <x:f>IF(A143="","",IF(COUNTIF($A$5:$A$404,A143)&gt;1,"DUPLICATE CLIENT",IF(COUNTIF(Clients!$A$5:$A$404,A143)=0,"CLIENT NOT FOUND",IF(B143="","CHOOSE PROFILE",IF(COUNTIF('Billing Profiles'!$A$5:$A$54,B143)=0,"PROFILE NOT FOUND",IF(OR(C143="",D143=""),"COMPLETE BILLING","OK"))))))</x:f>
      </x:c>
    </x:row>
    <x:row r="144">
      <x:c r="D144" s="104"/>
      <x:c r="G144" s="100" t="str">
        <x:f>IF(A144="","",IF(COUNTIF($A$5:$A$404,A144)&gt;1,"DUPLICATE CLIENT",IF(COUNTIF(Clients!$A$5:$A$404,A144)=0,"CLIENT NOT FOUND",IF(B144="","CHOOSE PROFILE",IF(COUNTIF('Billing Profiles'!$A$5:$A$54,B144)=0,"PROFILE NOT FOUND",IF(OR(C144="",D144=""),"COMPLETE BILLING","OK"))))))</x:f>
      </x:c>
    </x:row>
    <x:row r="145">
      <x:c r="D145" s="104"/>
      <x:c r="G145" s="100" t="str">
        <x:f>IF(A145="","",IF(COUNTIF($A$5:$A$404,A145)&gt;1,"DUPLICATE CLIENT",IF(COUNTIF(Clients!$A$5:$A$404,A145)=0,"CLIENT NOT FOUND",IF(B145="","CHOOSE PROFILE",IF(COUNTIF('Billing Profiles'!$A$5:$A$54,B145)=0,"PROFILE NOT FOUND",IF(OR(C145="",D145=""),"COMPLETE BILLING","OK"))))))</x:f>
      </x:c>
    </x:row>
    <x:row r="146">
      <x:c r="D146" s="104"/>
      <x:c r="G146" s="100" t="str">
        <x:f>IF(A146="","",IF(COUNTIF($A$5:$A$404,A146)&gt;1,"DUPLICATE CLIENT",IF(COUNTIF(Clients!$A$5:$A$404,A146)=0,"CLIENT NOT FOUND",IF(B146="","CHOOSE PROFILE",IF(COUNTIF('Billing Profiles'!$A$5:$A$54,B146)=0,"PROFILE NOT FOUND",IF(OR(C146="",D146=""),"COMPLETE BILLING","OK"))))))</x:f>
      </x:c>
    </x:row>
    <x:row r="147">
      <x:c r="D147" s="104"/>
      <x:c r="G147" s="100" t="str">
        <x:f>IF(A147="","",IF(COUNTIF($A$5:$A$404,A147)&gt;1,"DUPLICATE CLIENT",IF(COUNTIF(Clients!$A$5:$A$404,A147)=0,"CLIENT NOT FOUND",IF(B147="","CHOOSE PROFILE",IF(COUNTIF('Billing Profiles'!$A$5:$A$54,B147)=0,"PROFILE NOT FOUND",IF(OR(C147="",D147=""),"COMPLETE BILLING","OK"))))))</x:f>
      </x:c>
    </x:row>
    <x:row r="148">
      <x:c r="D148" s="104"/>
      <x:c r="G148" s="100" t="str">
        <x:f>IF(A148="","",IF(COUNTIF($A$5:$A$404,A148)&gt;1,"DUPLICATE CLIENT",IF(COUNTIF(Clients!$A$5:$A$404,A148)=0,"CLIENT NOT FOUND",IF(B148="","CHOOSE PROFILE",IF(COUNTIF('Billing Profiles'!$A$5:$A$54,B148)=0,"PROFILE NOT FOUND",IF(OR(C148="",D148=""),"COMPLETE BILLING","OK"))))))</x:f>
      </x:c>
    </x:row>
    <x:row r="149">
      <x:c r="D149" s="104"/>
      <x:c r="G149" s="100" t="str">
        <x:f>IF(A149="","",IF(COUNTIF($A$5:$A$404,A149)&gt;1,"DUPLICATE CLIENT",IF(COUNTIF(Clients!$A$5:$A$404,A149)=0,"CLIENT NOT FOUND",IF(B149="","CHOOSE PROFILE",IF(COUNTIF('Billing Profiles'!$A$5:$A$54,B149)=0,"PROFILE NOT FOUND",IF(OR(C149="",D149=""),"COMPLETE BILLING","OK"))))))</x:f>
      </x:c>
    </x:row>
    <x:row r="150">
      <x:c r="D150" s="104"/>
      <x:c r="G150" s="100" t="str">
        <x:f>IF(A150="","",IF(COUNTIF($A$5:$A$404,A150)&gt;1,"DUPLICATE CLIENT",IF(COUNTIF(Clients!$A$5:$A$404,A150)=0,"CLIENT NOT FOUND",IF(B150="","CHOOSE PROFILE",IF(COUNTIF('Billing Profiles'!$A$5:$A$54,B150)=0,"PROFILE NOT FOUND",IF(OR(C150="",D150=""),"COMPLETE BILLING","OK"))))))</x:f>
      </x:c>
    </x:row>
    <x:row r="151">
      <x:c r="D151" s="104"/>
      <x:c r="G151" s="100" t="str">
        <x:f>IF(A151="","",IF(COUNTIF($A$5:$A$404,A151)&gt;1,"DUPLICATE CLIENT",IF(COUNTIF(Clients!$A$5:$A$404,A151)=0,"CLIENT NOT FOUND",IF(B151="","CHOOSE PROFILE",IF(COUNTIF('Billing Profiles'!$A$5:$A$54,B151)=0,"PROFILE NOT FOUND",IF(OR(C151="",D151=""),"COMPLETE BILLING","OK"))))))</x:f>
      </x:c>
    </x:row>
    <x:row r="152">
      <x:c r="D152" s="104"/>
      <x:c r="G152" s="100" t="str">
        <x:f>IF(A152="","",IF(COUNTIF($A$5:$A$404,A152)&gt;1,"DUPLICATE CLIENT",IF(COUNTIF(Clients!$A$5:$A$404,A152)=0,"CLIENT NOT FOUND",IF(B152="","CHOOSE PROFILE",IF(COUNTIF('Billing Profiles'!$A$5:$A$54,B152)=0,"PROFILE NOT FOUND",IF(OR(C152="",D152=""),"COMPLETE BILLING","OK"))))))</x:f>
      </x:c>
    </x:row>
    <x:row r="153">
      <x:c r="D153" s="104"/>
      <x:c r="G153" s="100" t="str">
        <x:f>IF(A153="","",IF(COUNTIF($A$5:$A$404,A153)&gt;1,"DUPLICATE CLIENT",IF(COUNTIF(Clients!$A$5:$A$404,A153)=0,"CLIENT NOT FOUND",IF(B153="","CHOOSE PROFILE",IF(COUNTIF('Billing Profiles'!$A$5:$A$54,B153)=0,"PROFILE NOT FOUND",IF(OR(C153="",D153=""),"COMPLETE BILLING","OK"))))))</x:f>
      </x:c>
    </x:row>
    <x:row r="154">
      <x:c r="D154" s="104"/>
      <x:c r="G154" s="100" t="str">
        <x:f>IF(A154="","",IF(COUNTIF($A$5:$A$404,A154)&gt;1,"DUPLICATE CLIENT",IF(COUNTIF(Clients!$A$5:$A$404,A154)=0,"CLIENT NOT FOUND",IF(B154="","CHOOSE PROFILE",IF(COUNTIF('Billing Profiles'!$A$5:$A$54,B154)=0,"PROFILE NOT FOUND",IF(OR(C154="",D154=""),"COMPLETE BILLING","OK"))))))</x:f>
      </x:c>
    </x:row>
    <x:row r="155">
      <x:c r="D155" s="104"/>
      <x:c r="G155" s="100" t="str">
        <x:f>IF(A155="","",IF(COUNTIF($A$5:$A$404,A155)&gt;1,"DUPLICATE CLIENT",IF(COUNTIF(Clients!$A$5:$A$404,A155)=0,"CLIENT NOT FOUND",IF(B155="","CHOOSE PROFILE",IF(COUNTIF('Billing Profiles'!$A$5:$A$54,B155)=0,"PROFILE NOT FOUND",IF(OR(C155="",D155=""),"COMPLETE BILLING","OK"))))))</x:f>
      </x:c>
    </x:row>
    <x:row r="156">
      <x:c r="D156" s="104"/>
      <x:c r="G156" s="100" t="str">
        <x:f>IF(A156="","",IF(COUNTIF($A$5:$A$404,A156)&gt;1,"DUPLICATE CLIENT",IF(COUNTIF(Clients!$A$5:$A$404,A156)=0,"CLIENT NOT FOUND",IF(B156="","CHOOSE PROFILE",IF(COUNTIF('Billing Profiles'!$A$5:$A$54,B156)=0,"PROFILE NOT FOUND",IF(OR(C156="",D156=""),"COMPLETE BILLING","OK"))))))</x:f>
      </x:c>
    </x:row>
    <x:row r="157">
      <x:c r="D157" s="104"/>
      <x:c r="G157" s="100" t="str">
        <x:f>IF(A157="","",IF(COUNTIF($A$5:$A$404,A157)&gt;1,"DUPLICATE CLIENT",IF(COUNTIF(Clients!$A$5:$A$404,A157)=0,"CLIENT NOT FOUND",IF(B157="","CHOOSE PROFILE",IF(COUNTIF('Billing Profiles'!$A$5:$A$54,B157)=0,"PROFILE NOT FOUND",IF(OR(C157="",D157=""),"COMPLETE BILLING","OK"))))))</x:f>
      </x:c>
    </x:row>
    <x:row r="158">
      <x:c r="D158" s="104"/>
      <x:c r="G158" s="100" t="str">
        <x:f>IF(A158="","",IF(COUNTIF($A$5:$A$404,A158)&gt;1,"DUPLICATE CLIENT",IF(COUNTIF(Clients!$A$5:$A$404,A158)=0,"CLIENT NOT FOUND",IF(B158="","CHOOSE PROFILE",IF(COUNTIF('Billing Profiles'!$A$5:$A$54,B158)=0,"PROFILE NOT FOUND",IF(OR(C158="",D158=""),"COMPLETE BILLING","OK"))))))</x:f>
      </x:c>
    </x:row>
    <x:row r="159">
      <x:c r="D159" s="104"/>
      <x:c r="G159" s="100" t="str">
        <x:f>IF(A159="","",IF(COUNTIF($A$5:$A$404,A159)&gt;1,"DUPLICATE CLIENT",IF(COUNTIF(Clients!$A$5:$A$404,A159)=0,"CLIENT NOT FOUND",IF(B159="","CHOOSE PROFILE",IF(COUNTIF('Billing Profiles'!$A$5:$A$54,B159)=0,"PROFILE NOT FOUND",IF(OR(C159="",D159=""),"COMPLETE BILLING","OK"))))))</x:f>
      </x:c>
    </x:row>
    <x:row r="160">
      <x:c r="D160" s="104"/>
      <x:c r="G160" s="100" t="str">
        <x:f>IF(A160="","",IF(COUNTIF($A$5:$A$404,A160)&gt;1,"DUPLICATE CLIENT",IF(COUNTIF(Clients!$A$5:$A$404,A160)=0,"CLIENT NOT FOUND",IF(B160="","CHOOSE PROFILE",IF(COUNTIF('Billing Profiles'!$A$5:$A$54,B160)=0,"PROFILE NOT FOUND",IF(OR(C160="",D160=""),"COMPLETE BILLING","OK"))))))</x:f>
      </x:c>
    </x:row>
    <x:row r="161">
      <x:c r="D161" s="104"/>
      <x:c r="G161" s="100" t="str">
        <x:f>IF(A161="","",IF(COUNTIF($A$5:$A$404,A161)&gt;1,"DUPLICATE CLIENT",IF(COUNTIF(Clients!$A$5:$A$404,A161)=0,"CLIENT NOT FOUND",IF(B161="","CHOOSE PROFILE",IF(COUNTIF('Billing Profiles'!$A$5:$A$54,B161)=0,"PROFILE NOT FOUND",IF(OR(C161="",D161=""),"COMPLETE BILLING","OK"))))))</x:f>
      </x:c>
    </x:row>
    <x:row r="162">
      <x:c r="D162" s="104"/>
      <x:c r="G162" s="100" t="str">
        <x:f>IF(A162="","",IF(COUNTIF($A$5:$A$404,A162)&gt;1,"DUPLICATE CLIENT",IF(COUNTIF(Clients!$A$5:$A$404,A162)=0,"CLIENT NOT FOUND",IF(B162="","CHOOSE PROFILE",IF(COUNTIF('Billing Profiles'!$A$5:$A$54,B162)=0,"PROFILE NOT FOUND",IF(OR(C162="",D162=""),"COMPLETE BILLING","OK"))))))</x:f>
      </x:c>
    </x:row>
    <x:row r="163">
      <x:c r="D163" s="104"/>
      <x:c r="G163" s="100" t="str">
        <x:f>IF(A163="","",IF(COUNTIF($A$5:$A$404,A163)&gt;1,"DUPLICATE CLIENT",IF(COUNTIF(Clients!$A$5:$A$404,A163)=0,"CLIENT NOT FOUND",IF(B163="","CHOOSE PROFILE",IF(COUNTIF('Billing Profiles'!$A$5:$A$54,B163)=0,"PROFILE NOT FOUND",IF(OR(C163="",D163=""),"COMPLETE BILLING","OK"))))))</x:f>
      </x:c>
    </x:row>
    <x:row r="164">
      <x:c r="D164" s="104"/>
      <x:c r="G164" s="100" t="str">
        <x:f>IF(A164="","",IF(COUNTIF($A$5:$A$404,A164)&gt;1,"DUPLICATE CLIENT",IF(COUNTIF(Clients!$A$5:$A$404,A164)=0,"CLIENT NOT FOUND",IF(B164="","CHOOSE PROFILE",IF(COUNTIF('Billing Profiles'!$A$5:$A$54,B164)=0,"PROFILE NOT FOUND",IF(OR(C164="",D164=""),"COMPLETE BILLING","OK"))))))</x:f>
      </x:c>
    </x:row>
    <x:row r="165">
      <x:c r="D165" s="104"/>
      <x:c r="G165" s="100" t="str">
        <x:f>IF(A165="","",IF(COUNTIF($A$5:$A$404,A165)&gt;1,"DUPLICATE CLIENT",IF(COUNTIF(Clients!$A$5:$A$404,A165)=0,"CLIENT NOT FOUND",IF(B165="","CHOOSE PROFILE",IF(COUNTIF('Billing Profiles'!$A$5:$A$54,B165)=0,"PROFILE NOT FOUND",IF(OR(C165="",D165=""),"COMPLETE BILLING","OK"))))))</x:f>
      </x:c>
    </x:row>
    <x:row r="166">
      <x:c r="D166" s="104"/>
      <x:c r="G166" s="100" t="str">
        <x:f>IF(A166="","",IF(COUNTIF($A$5:$A$404,A166)&gt;1,"DUPLICATE CLIENT",IF(COUNTIF(Clients!$A$5:$A$404,A166)=0,"CLIENT NOT FOUND",IF(B166="","CHOOSE PROFILE",IF(COUNTIF('Billing Profiles'!$A$5:$A$54,B166)=0,"PROFILE NOT FOUND",IF(OR(C166="",D166=""),"COMPLETE BILLING","OK"))))))</x:f>
      </x:c>
    </x:row>
    <x:row r="167">
      <x:c r="D167" s="104"/>
      <x:c r="G167" s="100" t="str">
        <x:f>IF(A167="","",IF(COUNTIF($A$5:$A$404,A167)&gt;1,"DUPLICATE CLIENT",IF(COUNTIF(Clients!$A$5:$A$404,A167)=0,"CLIENT NOT FOUND",IF(B167="","CHOOSE PROFILE",IF(COUNTIF('Billing Profiles'!$A$5:$A$54,B167)=0,"PROFILE NOT FOUND",IF(OR(C167="",D167=""),"COMPLETE BILLING","OK"))))))</x:f>
      </x:c>
    </x:row>
    <x:row r="168">
      <x:c r="D168" s="104"/>
      <x:c r="G168" s="100" t="str">
        <x:f>IF(A168="","",IF(COUNTIF($A$5:$A$404,A168)&gt;1,"DUPLICATE CLIENT",IF(COUNTIF(Clients!$A$5:$A$404,A168)=0,"CLIENT NOT FOUND",IF(B168="","CHOOSE PROFILE",IF(COUNTIF('Billing Profiles'!$A$5:$A$54,B168)=0,"PROFILE NOT FOUND",IF(OR(C168="",D168=""),"COMPLETE BILLING","OK"))))))</x:f>
      </x:c>
    </x:row>
    <x:row r="169">
      <x:c r="D169" s="104"/>
      <x:c r="G169" s="100" t="str">
        <x:f>IF(A169="","",IF(COUNTIF($A$5:$A$404,A169)&gt;1,"DUPLICATE CLIENT",IF(COUNTIF(Clients!$A$5:$A$404,A169)=0,"CLIENT NOT FOUND",IF(B169="","CHOOSE PROFILE",IF(COUNTIF('Billing Profiles'!$A$5:$A$54,B169)=0,"PROFILE NOT FOUND",IF(OR(C169="",D169=""),"COMPLETE BILLING","OK"))))))</x:f>
      </x:c>
    </x:row>
    <x:row r="170">
      <x:c r="D170" s="104"/>
      <x:c r="G170" s="100" t="str">
        <x:f>IF(A170="","",IF(COUNTIF($A$5:$A$404,A170)&gt;1,"DUPLICATE CLIENT",IF(COUNTIF(Clients!$A$5:$A$404,A170)=0,"CLIENT NOT FOUND",IF(B170="","CHOOSE PROFILE",IF(COUNTIF('Billing Profiles'!$A$5:$A$54,B170)=0,"PROFILE NOT FOUND",IF(OR(C170="",D170=""),"COMPLETE BILLING","OK"))))))</x:f>
      </x:c>
    </x:row>
    <x:row r="171">
      <x:c r="D171" s="104"/>
      <x:c r="G171" s="100" t="str">
        <x:f>IF(A171="","",IF(COUNTIF($A$5:$A$404,A171)&gt;1,"DUPLICATE CLIENT",IF(COUNTIF(Clients!$A$5:$A$404,A171)=0,"CLIENT NOT FOUND",IF(B171="","CHOOSE PROFILE",IF(COUNTIF('Billing Profiles'!$A$5:$A$54,B171)=0,"PROFILE NOT FOUND",IF(OR(C171="",D171=""),"COMPLETE BILLING","OK"))))))</x:f>
      </x:c>
    </x:row>
    <x:row r="172">
      <x:c r="D172" s="104"/>
      <x:c r="G172" s="100" t="str">
        <x:f>IF(A172="","",IF(COUNTIF($A$5:$A$404,A172)&gt;1,"DUPLICATE CLIENT",IF(COUNTIF(Clients!$A$5:$A$404,A172)=0,"CLIENT NOT FOUND",IF(B172="","CHOOSE PROFILE",IF(COUNTIF('Billing Profiles'!$A$5:$A$54,B172)=0,"PROFILE NOT FOUND",IF(OR(C172="",D172=""),"COMPLETE BILLING","OK"))))))</x:f>
      </x:c>
    </x:row>
    <x:row r="173">
      <x:c r="D173" s="104"/>
      <x:c r="G173" s="100" t="str">
        <x:f>IF(A173="","",IF(COUNTIF($A$5:$A$404,A173)&gt;1,"DUPLICATE CLIENT",IF(COUNTIF(Clients!$A$5:$A$404,A173)=0,"CLIENT NOT FOUND",IF(B173="","CHOOSE PROFILE",IF(COUNTIF('Billing Profiles'!$A$5:$A$54,B173)=0,"PROFILE NOT FOUND",IF(OR(C173="",D173=""),"COMPLETE BILLING","OK"))))))</x:f>
      </x:c>
    </x:row>
    <x:row r="174">
      <x:c r="D174" s="104"/>
      <x:c r="G174" s="100" t="str">
        <x:f>IF(A174="","",IF(COUNTIF($A$5:$A$404,A174)&gt;1,"DUPLICATE CLIENT",IF(COUNTIF(Clients!$A$5:$A$404,A174)=0,"CLIENT NOT FOUND",IF(B174="","CHOOSE PROFILE",IF(COUNTIF('Billing Profiles'!$A$5:$A$54,B174)=0,"PROFILE NOT FOUND",IF(OR(C174="",D174=""),"COMPLETE BILLING","OK"))))))</x:f>
      </x:c>
    </x:row>
    <x:row r="175">
      <x:c r="D175" s="104"/>
      <x:c r="G175" s="100" t="str">
        <x:f>IF(A175="","",IF(COUNTIF($A$5:$A$404,A175)&gt;1,"DUPLICATE CLIENT",IF(COUNTIF(Clients!$A$5:$A$404,A175)=0,"CLIENT NOT FOUND",IF(B175="","CHOOSE PROFILE",IF(COUNTIF('Billing Profiles'!$A$5:$A$54,B175)=0,"PROFILE NOT FOUND",IF(OR(C175="",D175=""),"COMPLETE BILLING","OK"))))))</x:f>
      </x:c>
    </x:row>
    <x:row r="176">
      <x:c r="D176" s="104"/>
      <x:c r="G176" s="100" t="str">
        <x:f>IF(A176="","",IF(COUNTIF($A$5:$A$404,A176)&gt;1,"DUPLICATE CLIENT",IF(COUNTIF(Clients!$A$5:$A$404,A176)=0,"CLIENT NOT FOUND",IF(B176="","CHOOSE PROFILE",IF(COUNTIF('Billing Profiles'!$A$5:$A$54,B176)=0,"PROFILE NOT FOUND",IF(OR(C176="",D176=""),"COMPLETE BILLING","OK"))))))</x:f>
      </x:c>
    </x:row>
    <x:row r="177">
      <x:c r="D177" s="104"/>
      <x:c r="G177" s="100" t="str">
        <x:f>IF(A177="","",IF(COUNTIF($A$5:$A$404,A177)&gt;1,"DUPLICATE CLIENT",IF(COUNTIF(Clients!$A$5:$A$404,A177)=0,"CLIENT NOT FOUND",IF(B177="","CHOOSE PROFILE",IF(COUNTIF('Billing Profiles'!$A$5:$A$54,B177)=0,"PROFILE NOT FOUND",IF(OR(C177="",D177=""),"COMPLETE BILLING","OK"))))))</x:f>
      </x:c>
    </x:row>
    <x:row r="178">
      <x:c r="D178" s="104"/>
      <x:c r="G178" s="100" t="str">
        <x:f>IF(A178="","",IF(COUNTIF($A$5:$A$404,A178)&gt;1,"DUPLICATE CLIENT",IF(COUNTIF(Clients!$A$5:$A$404,A178)=0,"CLIENT NOT FOUND",IF(B178="","CHOOSE PROFILE",IF(COUNTIF('Billing Profiles'!$A$5:$A$54,B178)=0,"PROFILE NOT FOUND",IF(OR(C178="",D178=""),"COMPLETE BILLING","OK"))))))</x:f>
      </x:c>
    </x:row>
    <x:row r="179">
      <x:c r="D179" s="104"/>
      <x:c r="G179" s="100" t="str">
        <x:f>IF(A179="","",IF(COUNTIF($A$5:$A$404,A179)&gt;1,"DUPLICATE CLIENT",IF(COUNTIF(Clients!$A$5:$A$404,A179)=0,"CLIENT NOT FOUND",IF(B179="","CHOOSE PROFILE",IF(COUNTIF('Billing Profiles'!$A$5:$A$54,B179)=0,"PROFILE NOT FOUND",IF(OR(C179="",D179=""),"COMPLETE BILLING","OK"))))))</x:f>
      </x:c>
    </x:row>
    <x:row r="180">
      <x:c r="D180" s="104"/>
      <x:c r="G180" s="100" t="str">
        <x:f>IF(A180="","",IF(COUNTIF($A$5:$A$404,A180)&gt;1,"DUPLICATE CLIENT",IF(COUNTIF(Clients!$A$5:$A$404,A180)=0,"CLIENT NOT FOUND",IF(B180="","CHOOSE PROFILE",IF(COUNTIF('Billing Profiles'!$A$5:$A$54,B180)=0,"PROFILE NOT FOUND",IF(OR(C180="",D180=""),"COMPLETE BILLING","OK"))))))</x:f>
      </x:c>
    </x:row>
    <x:row r="181">
      <x:c r="D181" s="104"/>
      <x:c r="G181" s="100" t="str">
        <x:f>IF(A181="","",IF(COUNTIF($A$5:$A$404,A181)&gt;1,"DUPLICATE CLIENT",IF(COUNTIF(Clients!$A$5:$A$404,A181)=0,"CLIENT NOT FOUND",IF(B181="","CHOOSE PROFILE",IF(COUNTIF('Billing Profiles'!$A$5:$A$54,B181)=0,"PROFILE NOT FOUND",IF(OR(C181="",D181=""),"COMPLETE BILLING","OK"))))))</x:f>
      </x:c>
    </x:row>
    <x:row r="182">
      <x:c r="D182" s="104"/>
      <x:c r="G182" s="100" t="str">
        <x:f>IF(A182="","",IF(COUNTIF($A$5:$A$404,A182)&gt;1,"DUPLICATE CLIENT",IF(COUNTIF(Clients!$A$5:$A$404,A182)=0,"CLIENT NOT FOUND",IF(B182="","CHOOSE PROFILE",IF(COUNTIF('Billing Profiles'!$A$5:$A$54,B182)=0,"PROFILE NOT FOUND",IF(OR(C182="",D182=""),"COMPLETE BILLING","OK"))))))</x:f>
      </x:c>
    </x:row>
    <x:row r="183">
      <x:c r="D183" s="104"/>
      <x:c r="G183" s="100" t="str">
        <x:f>IF(A183="","",IF(COUNTIF($A$5:$A$404,A183)&gt;1,"DUPLICATE CLIENT",IF(COUNTIF(Clients!$A$5:$A$404,A183)=0,"CLIENT NOT FOUND",IF(B183="","CHOOSE PROFILE",IF(COUNTIF('Billing Profiles'!$A$5:$A$54,B183)=0,"PROFILE NOT FOUND",IF(OR(C183="",D183=""),"COMPLETE BILLING","OK"))))))</x:f>
      </x:c>
    </x:row>
    <x:row r="184">
      <x:c r="D184" s="104"/>
      <x:c r="G184" s="100" t="str">
        <x:f>IF(A184="","",IF(COUNTIF($A$5:$A$404,A184)&gt;1,"DUPLICATE CLIENT",IF(COUNTIF(Clients!$A$5:$A$404,A184)=0,"CLIENT NOT FOUND",IF(B184="","CHOOSE PROFILE",IF(COUNTIF('Billing Profiles'!$A$5:$A$54,B184)=0,"PROFILE NOT FOUND",IF(OR(C184="",D184=""),"COMPLETE BILLING","OK"))))))</x:f>
      </x:c>
    </x:row>
    <x:row r="185">
      <x:c r="D185" s="104"/>
      <x:c r="G185" s="100" t="str">
        <x:f>IF(A185="","",IF(COUNTIF($A$5:$A$404,A185)&gt;1,"DUPLICATE CLIENT",IF(COUNTIF(Clients!$A$5:$A$404,A185)=0,"CLIENT NOT FOUND",IF(B185="","CHOOSE PROFILE",IF(COUNTIF('Billing Profiles'!$A$5:$A$54,B185)=0,"PROFILE NOT FOUND",IF(OR(C185="",D185=""),"COMPLETE BILLING","OK"))))))</x:f>
      </x:c>
    </x:row>
    <x:row r="186">
      <x:c r="D186" s="104"/>
      <x:c r="G186" s="100" t="str">
        <x:f>IF(A186="","",IF(COUNTIF($A$5:$A$404,A186)&gt;1,"DUPLICATE CLIENT",IF(COUNTIF(Clients!$A$5:$A$404,A186)=0,"CLIENT NOT FOUND",IF(B186="","CHOOSE PROFILE",IF(COUNTIF('Billing Profiles'!$A$5:$A$54,B186)=0,"PROFILE NOT FOUND",IF(OR(C186="",D186=""),"COMPLETE BILLING","OK"))))))</x:f>
      </x:c>
    </x:row>
    <x:row r="187">
      <x:c r="D187" s="104"/>
      <x:c r="G187" s="100" t="str">
        <x:f>IF(A187="","",IF(COUNTIF($A$5:$A$404,A187)&gt;1,"DUPLICATE CLIENT",IF(COUNTIF(Clients!$A$5:$A$404,A187)=0,"CLIENT NOT FOUND",IF(B187="","CHOOSE PROFILE",IF(COUNTIF('Billing Profiles'!$A$5:$A$54,B187)=0,"PROFILE NOT FOUND",IF(OR(C187="",D187=""),"COMPLETE BILLING","OK"))))))</x:f>
      </x:c>
    </x:row>
    <x:row r="188">
      <x:c r="D188" s="104"/>
      <x:c r="G188" s="100" t="str">
        <x:f>IF(A188="","",IF(COUNTIF($A$5:$A$404,A188)&gt;1,"DUPLICATE CLIENT",IF(COUNTIF(Clients!$A$5:$A$404,A188)=0,"CLIENT NOT FOUND",IF(B188="","CHOOSE PROFILE",IF(COUNTIF('Billing Profiles'!$A$5:$A$54,B188)=0,"PROFILE NOT FOUND",IF(OR(C188="",D188=""),"COMPLETE BILLING","OK"))))))</x:f>
      </x:c>
    </x:row>
    <x:row r="189">
      <x:c r="D189" s="104"/>
      <x:c r="G189" s="100" t="str">
        <x:f>IF(A189="","",IF(COUNTIF($A$5:$A$404,A189)&gt;1,"DUPLICATE CLIENT",IF(COUNTIF(Clients!$A$5:$A$404,A189)=0,"CLIENT NOT FOUND",IF(B189="","CHOOSE PROFILE",IF(COUNTIF('Billing Profiles'!$A$5:$A$54,B189)=0,"PROFILE NOT FOUND",IF(OR(C189="",D189=""),"COMPLETE BILLING","OK"))))))</x:f>
      </x:c>
    </x:row>
    <x:row r="190">
      <x:c r="D190" s="104"/>
      <x:c r="G190" s="100" t="str">
        <x:f>IF(A190="","",IF(COUNTIF($A$5:$A$404,A190)&gt;1,"DUPLICATE CLIENT",IF(COUNTIF(Clients!$A$5:$A$404,A190)=0,"CLIENT NOT FOUND",IF(B190="","CHOOSE PROFILE",IF(COUNTIF('Billing Profiles'!$A$5:$A$54,B190)=0,"PROFILE NOT FOUND",IF(OR(C190="",D190=""),"COMPLETE BILLING","OK"))))))</x:f>
      </x:c>
    </x:row>
    <x:row r="191">
      <x:c r="D191" s="104"/>
      <x:c r="G191" s="100" t="str">
        <x:f>IF(A191="","",IF(COUNTIF($A$5:$A$404,A191)&gt;1,"DUPLICATE CLIENT",IF(COUNTIF(Clients!$A$5:$A$404,A191)=0,"CLIENT NOT FOUND",IF(B191="","CHOOSE PROFILE",IF(COUNTIF('Billing Profiles'!$A$5:$A$54,B191)=0,"PROFILE NOT FOUND",IF(OR(C191="",D191=""),"COMPLETE BILLING","OK"))))))</x:f>
      </x:c>
    </x:row>
    <x:row r="192">
      <x:c r="D192" s="104"/>
      <x:c r="G192" s="100" t="str">
        <x:f>IF(A192="","",IF(COUNTIF($A$5:$A$404,A192)&gt;1,"DUPLICATE CLIENT",IF(COUNTIF(Clients!$A$5:$A$404,A192)=0,"CLIENT NOT FOUND",IF(B192="","CHOOSE PROFILE",IF(COUNTIF('Billing Profiles'!$A$5:$A$54,B192)=0,"PROFILE NOT FOUND",IF(OR(C192="",D192=""),"COMPLETE BILLING","OK"))))))</x:f>
      </x:c>
    </x:row>
    <x:row r="193">
      <x:c r="D193" s="104"/>
      <x:c r="G193" s="100" t="str">
        <x:f>IF(A193="","",IF(COUNTIF($A$5:$A$404,A193)&gt;1,"DUPLICATE CLIENT",IF(COUNTIF(Clients!$A$5:$A$404,A193)=0,"CLIENT NOT FOUND",IF(B193="","CHOOSE PROFILE",IF(COUNTIF('Billing Profiles'!$A$5:$A$54,B193)=0,"PROFILE NOT FOUND",IF(OR(C193="",D193=""),"COMPLETE BILLING","OK"))))))</x:f>
      </x:c>
    </x:row>
    <x:row r="194">
      <x:c r="D194" s="104"/>
      <x:c r="G194" s="100" t="str">
        <x:f>IF(A194="","",IF(COUNTIF($A$5:$A$404,A194)&gt;1,"DUPLICATE CLIENT",IF(COUNTIF(Clients!$A$5:$A$404,A194)=0,"CLIENT NOT FOUND",IF(B194="","CHOOSE PROFILE",IF(COUNTIF('Billing Profiles'!$A$5:$A$54,B194)=0,"PROFILE NOT FOUND",IF(OR(C194="",D194=""),"COMPLETE BILLING","OK"))))))</x:f>
      </x:c>
    </x:row>
    <x:row r="195">
      <x:c r="D195" s="104"/>
      <x:c r="G195" s="100" t="str">
        <x:f>IF(A195="","",IF(COUNTIF($A$5:$A$404,A195)&gt;1,"DUPLICATE CLIENT",IF(COUNTIF(Clients!$A$5:$A$404,A195)=0,"CLIENT NOT FOUND",IF(B195="","CHOOSE PROFILE",IF(COUNTIF('Billing Profiles'!$A$5:$A$54,B195)=0,"PROFILE NOT FOUND",IF(OR(C195="",D195=""),"COMPLETE BILLING","OK"))))))</x:f>
      </x:c>
    </x:row>
    <x:row r="196">
      <x:c r="D196" s="104"/>
      <x:c r="G196" s="100" t="str">
        <x:f>IF(A196="","",IF(COUNTIF($A$5:$A$404,A196)&gt;1,"DUPLICATE CLIENT",IF(COUNTIF(Clients!$A$5:$A$404,A196)=0,"CLIENT NOT FOUND",IF(B196="","CHOOSE PROFILE",IF(COUNTIF('Billing Profiles'!$A$5:$A$54,B196)=0,"PROFILE NOT FOUND",IF(OR(C196="",D196=""),"COMPLETE BILLING","OK"))))))</x:f>
      </x:c>
    </x:row>
    <x:row r="197">
      <x:c r="D197" s="104"/>
      <x:c r="G197" s="100" t="str">
        <x:f>IF(A197="","",IF(COUNTIF($A$5:$A$404,A197)&gt;1,"DUPLICATE CLIENT",IF(COUNTIF(Clients!$A$5:$A$404,A197)=0,"CLIENT NOT FOUND",IF(B197="","CHOOSE PROFILE",IF(COUNTIF('Billing Profiles'!$A$5:$A$54,B197)=0,"PROFILE NOT FOUND",IF(OR(C197="",D197=""),"COMPLETE BILLING","OK"))))))</x:f>
      </x:c>
    </x:row>
    <x:row r="198">
      <x:c r="D198" s="104"/>
      <x:c r="G198" s="100" t="str">
        <x:f>IF(A198="","",IF(COUNTIF($A$5:$A$404,A198)&gt;1,"DUPLICATE CLIENT",IF(COUNTIF(Clients!$A$5:$A$404,A198)=0,"CLIENT NOT FOUND",IF(B198="","CHOOSE PROFILE",IF(COUNTIF('Billing Profiles'!$A$5:$A$54,B198)=0,"PROFILE NOT FOUND",IF(OR(C198="",D198=""),"COMPLETE BILLING","OK"))))))</x:f>
      </x:c>
    </x:row>
    <x:row r="199">
      <x:c r="D199" s="104"/>
      <x:c r="G199" s="100" t="str">
        <x:f>IF(A199="","",IF(COUNTIF($A$5:$A$404,A199)&gt;1,"DUPLICATE CLIENT",IF(COUNTIF(Clients!$A$5:$A$404,A199)=0,"CLIENT NOT FOUND",IF(B199="","CHOOSE PROFILE",IF(COUNTIF('Billing Profiles'!$A$5:$A$54,B199)=0,"PROFILE NOT FOUND",IF(OR(C199="",D199=""),"COMPLETE BILLING","OK"))))))</x:f>
      </x:c>
    </x:row>
    <x:row r="200">
      <x:c r="D200" s="104"/>
      <x:c r="G200" s="100" t="str">
        <x:f>IF(A200="","",IF(COUNTIF($A$5:$A$404,A200)&gt;1,"DUPLICATE CLIENT",IF(COUNTIF(Clients!$A$5:$A$404,A200)=0,"CLIENT NOT FOUND",IF(B200="","CHOOSE PROFILE",IF(COUNTIF('Billing Profiles'!$A$5:$A$54,B200)=0,"PROFILE NOT FOUND",IF(OR(C200="",D200=""),"COMPLETE BILLING","OK"))))))</x:f>
      </x:c>
    </x:row>
    <x:row r="201">
      <x:c r="D201" s="104"/>
      <x:c r="G201" s="100" t="str">
        <x:f>IF(A201="","",IF(COUNTIF($A$5:$A$404,A201)&gt;1,"DUPLICATE CLIENT",IF(COUNTIF(Clients!$A$5:$A$404,A201)=0,"CLIENT NOT FOUND",IF(B201="","CHOOSE PROFILE",IF(COUNTIF('Billing Profiles'!$A$5:$A$54,B201)=0,"PROFILE NOT FOUND",IF(OR(C201="",D201=""),"COMPLETE BILLING","OK"))))))</x:f>
      </x:c>
    </x:row>
    <x:row r="202">
      <x:c r="D202" s="104"/>
      <x:c r="G202" s="100" t="str">
        <x:f>IF(A202="","",IF(COUNTIF($A$5:$A$404,A202)&gt;1,"DUPLICATE CLIENT",IF(COUNTIF(Clients!$A$5:$A$404,A202)=0,"CLIENT NOT FOUND",IF(B202="","CHOOSE PROFILE",IF(COUNTIF('Billing Profiles'!$A$5:$A$54,B202)=0,"PROFILE NOT FOUND",IF(OR(C202="",D202=""),"COMPLETE BILLING","OK"))))))</x:f>
      </x:c>
    </x:row>
    <x:row r="203">
      <x:c r="D203" s="104"/>
      <x:c r="G203" s="100" t="str">
        <x:f>IF(A203="","",IF(COUNTIF($A$5:$A$404,A203)&gt;1,"DUPLICATE CLIENT",IF(COUNTIF(Clients!$A$5:$A$404,A203)=0,"CLIENT NOT FOUND",IF(B203="","CHOOSE PROFILE",IF(COUNTIF('Billing Profiles'!$A$5:$A$54,B203)=0,"PROFILE NOT FOUND",IF(OR(C203="",D203=""),"COMPLETE BILLING","OK"))))))</x:f>
      </x:c>
    </x:row>
    <x:row r="204">
      <x:c r="D204" s="104"/>
      <x:c r="G204" s="100" t="str">
        <x:f>IF(A204="","",IF(COUNTIF($A$5:$A$404,A204)&gt;1,"DUPLICATE CLIENT",IF(COUNTIF(Clients!$A$5:$A$404,A204)=0,"CLIENT NOT FOUND",IF(B204="","CHOOSE PROFILE",IF(COUNTIF('Billing Profiles'!$A$5:$A$54,B204)=0,"PROFILE NOT FOUND",IF(OR(C204="",D204=""),"COMPLETE BILLING","OK"))))))</x:f>
      </x:c>
    </x:row>
    <x:row r="205">
      <x:c r="D205" s="104"/>
      <x:c r="G205" s="100" t="str">
        <x:f>IF(A205="","",IF(COUNTIF($A$5:$A$404,A205)&gt;1,"DUPLICATE CLIENT",IF(COUNTIF(Clients!$A$5:$A$404,A205)=0,"CLIENT NOT FOUND",IF(B205="","CHOOSE PROFILE",IF(COUNTIF('Billing Profiles'!$A$5:$A$54,B205)=0,"PROFILE NOT FOUND",IF(OR(C205="",D205=""),"COMPLETE BILLING","OK"))))))</x:f>
      </x:c>
    </x:row>
    <x:row r="206">
      <x:c r="D206" s="104"/>
      <x:c r="G206" s="100" t="str">
        <x:f>IF(A206="","",IF(COUNTIF($A$5:$A$404,A206)&gt;1,"DUPLICATE CLIENT",IF(COUNTIF(Clients!$A$5:$A$404,A206)=0,"CLIENT NOT FOUND",IF(B206="","CHOOSE PROFILE",IF(COUNTIF('Billing Profiles'!$A$5:$A$54,B206)=0,"PROFILE NOT FOUND",IF(OR(C206="",D206=""),"COMPLETE BILLING","OK"))))))</x:f>
      </x:c>
    </x:row>
    <x:row r="207">
      <x:c r="D207" s="104"/>
      <x:c r="G207" s="100" t="str">
        <x:f>IF(A207="","",IF(COUNTIF($A$5:$A$404,A207)&gt;1,"DUPLICATE CLIENT",IF(COUNTIF(Clients!$A$5:$A$404,A207)=0,"CLIENT NOT FOUND",IF(B207="","CHOOSE PROFILE",IF(COUNTIF('Billing Profiles'!$A$5:$A$54,B207)=0,"PROFILE NOT FOUND",IF(OR(C207="",D207=""),"COMPLETE BILLING","OK"))))))</x:f>
      </x:c>
    </x:row>
    <x:row r="208">
      <x:c r="D208" s="104"/>
      <x:c r="G208" s="100" t="str">
        <x:f>IF(A208="","",IF(COUNTIF($A$5:$A$404,A208)&gt;1,"DUPLICATE CLIENT",IF(COUNTIF(Clients!$A$5:$A$404,A208)=0,"CLIENT NOT FOUND",IF(B208="","CHOOSE PROFILE",IF(COUNTIF('Billing Profiles'!$A$5:$A$54,B208)=0,"PROFILE NOT FOUND",IF(OR(C208="",D208=""),"COMPLETE BILLING","OK"))))))</x:f>
      </x:c>
    </x:row>
    <x:row r="209">
      <x:c r="D209" s="104"/>
      <x:c r="G209" s="100" t="str">
        <x:f>IF(A209="","",IF(COUNTIF($A$5:$A$404,A209)&gt;1,"DUPLICATE CLIENT",IF(COUNTIF(Clients!$A$5:$A$404,A209)=0,"CLIENT NOT FOUND",IF(B209="","CHOOSE PROFILE",IF(COUNTIF('Billing Profiles'!$A$5:$A$54,B209)=0,"PROFILE NOT FOUND",IF(OR(C209="",D209=""),"COMPLETE BILLING","OK"))))))</x:f>
      </x:c>
    </x:row>
    <x:row r="210">
      <x:c r="D210" s="104"/>
      <x:c r="G210" s="100" t="str">
        <x:f>IF(A210="","",IF(COUNTIF($A$5:$A$404,A210)&gt;1,"DUPLICATE CLIENT",IF(COUNTIF(Clients!$A$5:$A$404,A210)=0,"CLIENT NOT FOUND",IF(B210="","CHOOSE PROFILE",IF(COUNTIF('Billing Profiles'!$A$5:$A$54,B210)=0,"PROFILE NOT FOUND",IF(OR(C210="",D210=""),"COMPLETE BILLING","OK"))))))</x:f>
      </x:c>
    </x:row>
    <x:row r="211">
      <x:c r="D211" s="104"/>
      <x:c r="G211" s="100" t="str">
        <x:f>IF(A211="","",IF(COUNTIF($A$5:$A$404,A211)&gt;1,"DUPLICATE CLIENT",IF(COUNTIF(Clients!$A$5:$A$404,A211)=0,"CLIENT NOT FOUND",IF(B211="","CHOOSE PROFILE",IF(COUNTIF('Billing Profiles'!$A$5:$A$54,B211)=0,"PROFILE NOT FOUND",IF(OR(C211="",D211=""),"COMPLETE BILLING","OK"))))))</x:f>
      </x:c>
    </x:row>
    <x:row r="212">
      <x:c r="D212" s="104"/>
      <x:c r="G212" s="100" t="str">
        <x:f>IF(A212="","",IF(COUNTIF($A$5:$A$404,A212)&gt;1,"DUPLICATE CLIENT",IF(COUNTIF(Clients!$A$5:$A$404,A212)=0,"CLIENT NOT FOUND",IF(B212="","CHOOSE PROFILE",IF(COUNTIF('Billing Profiles'!$A$5:$A$54,B212)=0,"PROFILE NOT FOUND",IF(OR(C212="",D212=""),"COMPLETE BILLING","OK"))))))</x:f>
      </x:c>
    </x:row>
    <x:row r="213">
      <x:c r="D213" s="104"/>
      <x:c r="G213" s="100" t="str">
        <x:f>IF(A213="","",IF(COUNTIF($A$5:$A$404,A213)&gt;1,"DUPLICATE CLIENT",IF(COUNTIF(Clients!$A$5:$A$404,A213)=0,"CLIENT NOT FOUND",IF(B213="","CHOOSE PROFILE",IF(COUNTIF('Billing Profiles'!$A$5:$A$54,B213)=0,"PROFILE NOT FOUND",IF(OR(C213="",D213=""),"COMPLETE BILLING","OK"))))))</x:f>
      </x:c>
    </x:row>
    <x:row r="214">
      <x:c r="D214" s="104"/>
      <x:c r="G214" s="100" t="str">
        <x:f>IF(A214="","",IF(COUNTIF($A$5:$A$404,A214)&gt;1,"DUPLICATE CLIENT",IF(COUNTIF(Clients!$A$5:$A$404,A214)=0,"CLIENT NOT FOUND",IF(B214="","CHOOSE PROFILE",IF(COUNTIF('Billing Profiles'!$A$5:$A$54,B214)=0,"PROFILE NOT FOUND",IF(OR(C214="",D214=""),"COMPLETE BILLING","OK"))))))</x:f>
      </x:c>
    </x:row>
    <x:row r="215">
      <x:c r="D215" s="104"/>
      <x:c r="G215" s="100" t="str">
        <x:f>IF(A215="","",IF(COUNTIF($A$5:$A$404,A215)&gt;1,"DUPLICATE CLIENT",IF(COUNTIF(Clients!$A$5:$A$404,A215)=0,"CLIENT NOT FOUND",IF(B215="","CHOOSE PROFILE",IF(COUNTIF('Billing Profiles'!$A$5:$A$54,B215)=0,"PROFILE NOT FOUND",IF(OR(C215="",D215=""),"COMPLETE BILLING","OK"))))))</x:f>
      </x:c>
    </x:row>
    <x:row r="216">
      <x:c r="D216" s="104"/>
      <x:c r="G216" s="100" t="str">
        <x:f>IF(A216="","",IF(COUNTIF($A$5:$A$404,A216)&gt;1,"DUPLICATE CLIENT",IF(COUNTIF(Clients!$A$5:$A$404,A216)=0,"CLIENT NOT FOUND",IF(B216="","CHOOSE PROFILE",IF(COUNTIF('Billing Profiles'!$A$5:$A$54,B216)=0,"PROFILE NOT FOUND",IF(OR(C216="",D216=""),"COMPLETE BILLING","OK"))))))</x:f>
      </x:c>
    </x:row>
    <x:row r="217">
      <x:c r="D217" s="104"/>
      <x:c r="G217" s="100" t="str">
        <x:f>IF(A217="","",IF(COUNTIF($A$5:$A$404,A217)&gt;1,"DUPLICATE CLIENT",IF(COUNTIF(Clients!$A$5:$A$404,A217)=0,"CLIENT NOT FOUND",IF(B217="","CHOOSE PROFILE",IF(COUNTIF('Billing Profiles'!$A$5:$A$54,B217)=0,"PROFILE NOT FOUND",IF(OR(C217="",D217=""),"COMPLETE BILLING","OK"))))))</x:f>
      </x:c>
    </x:row>
    <x:row r="218">
      <x:c r="D218" s="104"/>
      <x:c r="G218" s="100" t="str">
        <x:f>IF(A218="","",IF(COUNTIF($A$5:$A$404,A218)&gt;1,"DUPLICATE CLIENT",IF(COUNTIF(Clients!$A$5:$A$404,A218)=0,"CLIENT NOT FOUND",IF(B218="","CHOOSE PROFILE",IF(COUNTIF('Billing Profiles'!$A$5:$A$54,B218)=0,"PROFILE NOT FOUND",IF(OR(C218="",D218=""),"COMPLETE BILLING","OK"))))))</x:f>
      </x:c>
    </x:row>
    <x:row r="219">
      <x:c r="D219" s="104"/>
      <x:c r="G219" s="100" t="str">
        <x:f>IF(A219="","",IF(COUNTIF($A$5:$A$404,A219)&gt;1,"DUPLICATE CLIENT",IF(COUNTIF(Clients!$A$5:$A$404,A219)=0,"CLIENT NOT FOUND",IF(B219="","CHOOSE PROFILE",IF(COUNTIF('Billing Profiles'!$A$5:$A$54,B219)=0,"PROFILE NOT FOUND",IF(OR(C219="",D219=""),"COMPLETE BILLING","OK"))))))</x:f>
      </x:c>
    </x:row>
    <x:row r="220">
      <x:c r="D220" s="104"/>
      <x:c r="G220" s="100" t="str">
        <x:f>IF(A220="","",IF(COUNTIF($A$5:$A$404,A220)&gt;1,"DUPLICATE CLIENT",IF(COUNTIF(Clients!$A$5:$A$404,A220)=0,"CLIENT NOT FOUND",IF(B220="","CHOOSE PROFILE",IF(COUNTIF('Billing Profiles'!$A$5:$A$54,B220)=0,"PROFILE NOT FOUND",IF(OR(C220="",D220=""),"COMPLETE BILLING","OK"))))))</x:f>
      </x:c>
    </x:row>
    <x:row r="221">
      <x:c r="D221" s="104"/>
      <x:c r="G221" s="100" t="str">
        <x:f>IF(A221="","",IF(COUNTIF($A$5:$A$404,A221)&gt;1,"DUPLICATE CLIENT",IF(COUNTIF(Clients!$A$5:$A$404,A221)=0,"CLIENT NOT FOUND",IF(B221="","CHOOSE PROFILE",IF(COUNTIF('Billing Profiles'!$A$5:$A$54,B221)=0,"PROFILE NOT FOUND",IF(OR(C221="",D221=""),"COMPLETE BILLING","OK"))))))</x:f>
      </x:c>
    </x:row>
    <x:row r="222">
      <x:c r="D222" s="104"/>
      <x:c r="G222" s="100" t="str">
        <x:f>IF(A222="","",IF(COUNTIF($A$5:$A$404,A222)&gt;1,"DUPLICATE CLIENT",IF(COUNTIF(Clients!$A$5:$A$404,A222)=0,"CLIENT NOT FOUND",IF(B222="","CHOOSE PROFILE",IF(COUNTIF('Billing Profiles'!$A$5:$A$54,B222)=0,"PROFILE NOT FOUND",IF(OR(C222="",D222=""),"COMPLETE BILLING","OK"))))))</x:f>
      </x:c>
    </x:row>
    <x:row r="223">
      <x:c r="D223" s="104"/>
      <x:c r="G223" s="100" t="str">
        <x:f>IF(A223="","",IF(COUNTIF($A$5:$A$404,A223)&gt;1,"DUPLICATE CLIENT",IF(COUNTIF(Clients!$A$5:$A$404,A223)=0,"CLIENT NOT FOUND",IF(B223="","CHOOSE PROFILE",IF(COUNTIF('Billing Profiles'!$A$5:$A$54,B223)=0,"PROFILE NOT FOUND",IF(OR(C223="",D223=""),"COMPLETE BILLING","OK"))))))</x:f>
      </x:c>
    </x:row>
    <x:row r="224">
      <x:c r="D224" s="104"/>
      <x:c r="G224" s="100" t="str">
        <x:f>IF(A224="","",IF(COUNTIF($A$5:$A$404,A224)&gt;1,"DUPLICATE CLIENT",IF(COUNTIF(Clients!$A$5:$A$404,A224)=0,"CLIENT NOT FOUND",IF(B224="","CHOOSE PROFILE",IF(COUNTIF('Billing Profiles'!$A$5:$A$54,B224)=0,"PROFILE NOT FOUND",IF(OR(C224="",D224=""),"COMPLETE BILLING","OK"))))))</x:f>
      </x:c>
    </x:row>
    <x:row r="225">
      <x:c r="D225" s="104"/>
      <x:c r="G225" s="100" t="str">
        <x:f>IF(A225="","",IF(COUNTIF($A$5:$A$404,A225)&gt;1,"DUPLICATE CLIENT",IF(COUNTIF(Clients!$A$5:$A$404,A225)=0,"CLIENT NOT FOUND",IF(B225="","CHOOSE PROFILE",IF(COUNTIF('Billing Profiles'!$A$5:$A$54,B225)=0,"PROFILE NOT FOUND",IF(OR(C225="",D225=""),"COMPLETE BILLING","OK"))))))</x:f>
      </x:c>
    </x:row>
    <x:row r="226">
      <x:c r="D226" s="104"/>
      <x:c r="G226" s="100" t="str">
        <x:f>IF(A226="","",IF(COUNTIF($A$5:$A$404,A226)&gt;1,"DUPLICATE CLIENT",IF(COUNTIF(Clients!$A$5:$A$404,A226)=0,"CLIENT NOT FOUND",IF(B226="","CHOOSE PROFILE",IF(COUNTIF('Billing Profiles'!$A$5:$A$54,B226)=0,"PROFILE NOT FOUND",IF(OR(C226="",D226=""),"COMPLETE BILLING","OK"))))))</x:f>
      </x:c>
    </x:row>
    <x:row r="227">
      <x:c r="D227" s="104"/>
      <x:c r="G227" s="100" t="str">
        <x:f>IF(A227="","",IF(COUNTIF($A$5:$A$404,A227)&gt;1,"DUPLICATE CLIENT",IF(COUNTIF(Clients!$A$5:$A$404,A227)=0,"CLIENT NOT FOUND",IF(B227="","CHOOSE PROFILE",IF(COUNTIF('Billing Profiles'!$A$5:$A$54,B227)=0,"PROFILE NOT FOUND",IF(OR(C227="",D227=""),"COMPLETE BILLING","OK"))))))</x:f>
      </x:c>
    </x:row>
    <x:row r="228">
      <x:c r="D228" s="104"/>
      <x:c r="G228" s="100" t="str">
        <x:f>IF(A228="","",IF(COUNTIF($A$5:$A$404,A228)&gt;1,"DUPLICATE CLIENT",IF(COUNTIF(Clients!$A$5:$A$404,A228)=0,"CLIENT NOT FOUND",IF(B228="","CHOOSE PROFILE",IF(COUNTIF('Billing Profiles'!$A$5:$A$54,B228)=0,"PROFILE NOT FOUND",IF(OR(C228="",D228=""),"COMPLETE BILLING","OK"))))))</x:f>
      </x:c>
    </x:row>
    <x:row r="229">
      <x:c r="D229" s="104"/>
      <x:c r="G229" s="100" t="str">
        <x:f>IF(A229="","",IF(COUNTIF($A$5:$A$404,A229)&gt;1,"DUPLICATE CLIENT",IF(COUNTIF(Clients!$A$5:$A$404,A229)=0,"CLIENT NOT FOUND",IF(B229="","CHOOSE PROFILE",IF(COUNTIF('Billing Profiles'!$A$5:$A$54,B229)=0,"PROFILE NOT FOUND",IF(OR(C229="",D229=""),"COMPLETE BILLING","OK"))))))</x:f>
      </x:c>
    </x:row>
    <x:row r="230">
      <x:c r="D230" s="104"/>
      <x:c r="G230" s="100" t="str">
        <x:f>IF(A230="","",IF(COUNTIF($A$5:$A$404,A230)&gt;1,"DUPLICATE CLIENT",IF(COUNTIF(Clients!$A$5:$A$404,A230)=0,"CLIENT NOT FOUND",IF(B230="","CHOOSE PROFILE",IF(COUNTIF('Billing Profiles'!$A$5:$A$54,B230)=0,"PROFILE NOT FOUND",IF(OR(C230="",D230=""),"COMPLETE BILLING","OK"))))))</x:f>
      </x:c>
    </x:row>
    <x:row r="231">
      <x:c r="D231" s="104"/>
      <x:c r="G231" s="100" t="str">
        <x:f>IF(A231="","",IF(COUNTIF($A$5:$A$404,A231)&gt;1,"DUPLICATE CLIENT",IF(COUNTIF(Clients!$A$5:$A$404,A231)=0,"CLIENT NOT FOUND",IF(B231="","CHOOSE PROFILE",IF(COUNTIF('Billing Profiles'!$A$5:$A$54,B231)=0,"PROFILE NOT FOUND",IF(OR(C231="",D231=""),"COMPLETE BILLING","OK"))))))</x:f>
      </x:c>
    </x:row>
    <x:row r="232">
      <x:c r="D232" s="104"/>
      <x:c r="G232" s="100" t="str">
        <x:f>IF(A232="","",IF(COUNTIF($A$5:$A$404,A232)&gt;1,"DUPLICATE CLIENT",IF(COUNTIF(Clients!$A$5:$A$404,A232)=0,"CLIENT NOT FOUND",IF(B232="","CHOOSE PROFILE",IF(COUNTIF('Billing Profiles'!$A$5:$A$54,B232)=0,"PROFILE NOT FOUND",IF(OR(C232="",D232=""),"COMPLETE BILLING","OK"))))))</x:f>
      </x:c>
    </x:row>
    <x:row r="233">
      <x:c r="D233" s="104"/>
      <x:c r="G233" s="100" t="str">
        <x:f>IF(A233="","",IF(COUNTIF($A$5:$A$404,A233)&gt;1,"DUPLICATE CLIENT",IF(COUNTIF(Clients!$A$5:$A$404,A233)=0,"CLIENT NOT FOUND",IF(B233="","CHOOSE PROFILE",IF(COUNTIF('Billing Profiles'!$A$5:$A$54,B233)=0,"PROFILE NOT FOUND",IF(OR(C233="",D233=""),"COMPLETE BILLING","OK"))))))</x:f>
      </x:c>
    </x:row>
    <x:row r="234">
      <x:c r="D234" s="104"/>
      <x:c r="G234" s="100" t="str">
        <x:f>IF(A234="","",IF(COUNTIF($A$5:$A$404,A234)&gt;1,"DUPLICATE CLIENT",IF(COUNTIF(Clients!$A$5:$A$404,A234)=0,"CLIENT NOT FOUND",IF(B234="","CHOOSE PROFILE",IF(COUNTIF('Billing Profiles'!$A$5:$A$54,B234)=0,"PROFILE NOT FOUND",IF(OR(C234="",D234=""),"COMPLETE BILLING","OK"))))))</x:f>
      </x:c>
    </x:row>
    <x:row r="235">
      <x:c r="D235" s="104"/>
      <x:c r="G235" s="100" t="str">
        <x:f>IF(A235="","",IF(COUNTIF($A$5:$A$404,A235)&gt;1,"DUPLICATE CLIENT",IF(COUNTIF(Clients!$A$5:$A$404,A235)=0,"CLIENT NOT FOUND",IF(B235="","CHOOSE PROFILE",IF(COUNTIF('Billing Profiles'!$A$5:$A$54,B235)=0,"PROFILE NOT FOUND",IF(OR(C235="",D235=""),"COMPLETE BILLING","OK"))))))</x:f>
      </x:c>
    </x:row>
    <x:row r="236">
      <x:c r="D236" s="104"/>
      <x:c r="G236" s="100" t="str">
        <x:f>IF(A236="","",IF(COUNTIF($A$5:$A$404,A236)&gt;1,"DUPLICATE CLIENT",IF(COUNTIF(Clients!$A$5:$A$404,A236)=0,"CLIENT NOT FOUND",IF(B236="","CHOOSE PROFILE",IF(COUNTIF('Billing Profiles'!$A$5:$A$54,B236)=0,"PROFILE NOT FOUND",IF(OR(C236="",D236=""),"COMPLETE BILLING","OK"))))))</x:f>
      </x:c>
    </x:row>
    <x:row r="237">
      <x:c r="D237" s="104"/>
      <x:c r="G237" s="100" t="str">
        <x:f>IF(A237="","",IF(COUNTIF($A$5:$A$404,A237)&gt;1,"DUPLICATE CLIENT",IF(COUNTIF(Clients!$A$5:$A$404,A237)=0,"CLIENT NOT FOUND",IF(B237="","CHOOSE PROFILE",IF(COUNTIF('Billing Profiles'!$A$5:$A$54,B237)=0,"PROFILE NOT FOUND",IF(OR(C237="",D237=""),"COMPLETE BILLING","OK"))))))</x:f>
      </x:c>
    </x:row>
    <x:row r="238">
      <x:c r="D238" s="104"/>
      <x:c r="G238" s="100" t="str">
        <x:f>IF(A238="","",IF(COUNTIF($A$5:$A$404,A238)&gt;1,"DUPLICATE CLIENT",IF(COUNTIF(Clients!$A$5:$A$404,A238)=0,"CLIENT NOT FOUND",IF(B238="","CHOOSE PROFILE",IF(COUNTIF('Billing Profiles'!$A$5:$A$54,B238)=0,"PROFILE NOT FOUND",IF(OR(C238="",D238=""),"COMPLETE BILLING","OK"))))))</x:f>
      </x:c>
    </x:row>
    <x:row r="239">
      <x:c r="D239" s="104"/>
      <x:c r="G239" s="100" t="str">
        <x:f>IF(A239="","",IF(COUNTIF($A$5:$A$404,A239)&gt;1,"DUPLICATE CLIENT",IF(COUNTIF(Clients!$A$5:$A$404,A239)=0,"CLIENT NOT FOUND",IF(B239="","CHOOSE PROFILE",IF(COUNTIF('Billing Profiles'!$A$5:$A$54,B239)=0,"PROFILE NOT FOUND",IF(OR(C239="",D239=""),"COMPLETE BILLING","OK"))))))</x:f>
      </x:c>
    </x:row>
    <x:row r="240">
      <x:c r="D240" s="104"/>
      <x:c r="G240" s="100" t="str">
        <x:f>IF(A240="","",IF(COUNTIF($A$5:$A$404,A240)&gt;1,"DUPLICATE CLIENT",IF(COUNTIF(Clients!$A$5:$A$404,A240)=0,"CLIENT NOT FOUND",IF(B240="","CHOOSE PROFILE",IF(COUNTIF('Billing Profiles'!$A$5:$A$54,B240)=0,"PROFILE NOT FOUND",IF(OR(C240="",D240=""),"COMPLETE BILLING","OK"))))))</x:f>
      </x:c>
    </x:row>
    <x:row r="241">
      <x:c r="D241" s="104"/>
      <x:c r="G241" s="100" t="str">
        <x:f>IF(A241="","",IF(COUNTIF($A$5:$A$404,A241)&gt;1,"DUPLICATE CLIENT",IF(COUNTIF(Clients!$A$5:$A$404,A241)=0,"CLIENT NOT FOUND",IF(B241="","CHOOSE PROFILE",IF(COUNTIF('Billing Profiles'!$A$5:$A$54,B241)=0,"PROFILE NOT FOUND",IF(OR(C241="",D241=""),"COMPLETE BILLING","OK"))))))</x:f>
      </x:c>
    </x:row>
    <x:row r="242">
      <x:c r="D242" s="104"/>
      <x:c r="G242" s="100" t="str">
        <x:f>IF(A242="","",IF(COUNTIF($A$5:$A$404,A242)&gt;1,"DUPLICATE CLIENT",IF(COUNTIF(Clients!$A$5:$A$404,A242)=0,"CLIENT NOT FOUND",IF(B242="","CHOOSE PROFILE",IF(COUNTIF('Billing Profiles'!$A$5:$A$54,B242)=0,"PROFILE NOT FOUND",IF(OR(C242="",D242=""),"COMPLETE BILLING","OK"))))))</x:f>
      </x:c>
    </x:row>
    <x:row r="243">
      <x:c r="D243" s="104"/>
      <x:c r="G243" s="100" t="str">
        <x:f>IF(A243="","",IF(COUNTIF($A$5:$A$404,A243)&gt;1,"DUPLICATE CLIENT",IF(COUNTIF(Clients!$A$5:$A$404,A243)=0,"CLIENT NOT FOUND",IF(B243="","CHOOSE PROFILE",IF(COUNTIF('Billing Profiles'!$A$5:$A$54,B243)=0,"PROFILE NOT FOUND",IF(OR(C243="",D243=""),"COMPLETE BILLING","OK"))))))</x:f>
      </x:c>
    </x:row>
    <x:row r="244">
      <x:c r="D244" s="104"/>
      <x:c r="G244" s="100" t="str">
        <x:f>IF(A244="","",IF(COUNTIF($A$5:$A$404,A244)&gt;1,"DUPLICATE CLIENT",IF(COUNTIF(Clients!$A$5:$A$404,A244)=0,"CLIENT NOT FOUND",IF(B244="","CHOOSE PROFILE",IF(COUNTIF('Billing Profiles'!$A$5:$A$54,B244)=0,"PROFILE NOT FOUND",IF(OR(C244="",D244=""),"COMPLETE BILLING","OK"))))))</x:f>
      </x:c>
    </x:row>
    <x:row r="245">
      <x:c r="D245" s="104"/>
      <x:c r="G245" s="100" t="str">
        <x:f>IF(A245="","",IF(COUNTIF($A$5:$A$404,A245)&gt;1,"DUPLICATE CLIENT",IF(COUNTIF(Clients!$A$5:$A$404,A245)=0,"CLIENT NOT FOUND",IF(B245="","CHOOSE PROFILE",IF(COUNTIF('Billing Profiles'!$A$5:$A$54,B245)=0,"PROFILE NOT FOUND",IF(OR(C245="",D245=""),"COMPLETE BILLING","OK"))))))</x:f>
      </x:c>
    </x:row>
    <x:row r="246">
      <x:c r="D246" s="104"/>
      <x:c r="G246" s="100" t="str">
        <x:f>IF(A246="","",IF(COUNTIF($A$5:$A$404,A246)&gt;1,"DUPLICATE CLIENT",IF(COUNTIF(Clients!$A$5:$A$404,A246)=0,"CLIENT NOT FOUND",IF(B246="","CHOOSE PROFILE",IF(COUNTIF('Billing Profiles'!$A$5:$A$54,B246)=0,"PROFILE NOT FOUND",IF(OR(C246="",D246=""),"COMPLETE BILLING","OK"))))))</x:f>
      </x:c>
    </x:row>
    <x:row r="247">
      <x:c r="D247" s="104"/>
      <x:c r="G247" s="100" t="str">
        <x:f>IF(A247="","",IF(COUNTIF($A$5:$A$404,A247)&gt;1,"DUPLICATE CLIENT",IF(COUNTIF(Clients!$A$5:$A$404,A247)=0,"CLIENT NOT FOUND",IF(B247="","CHOOSE PROFILE",IF(COUNTIF('Billing Profiles'!$A$5:$A$54,B247)=0,"PROFILE NOT FOUND",IF(OR(C247="",D247=""),"COMPLETE BILLING","OK"))))))</x:f>
      </x:c>
    </x:row>
    <x:row r="248">
      <x:c r="D248" s="104"/>
      <x:c r="G248" s="100" t="str">
        <x:f>IF(A248="","",IF(COUNTIF($A$5:$A$404,A248)&gt;1,"DUPLICATE CLIENT",IF(COUNTIF(Clients!$A$5:$A$404,A248)=0,"CLIENT NOT FOUND",IF(B248="","CHOOSE PROFILE",IF(COUNTIF('Billing Profiles'!$A$5:$A$54,B248)=0,"PROFILE NOT FOUND",IF(OR(C248="",D248=""),"COMPLETE BILLING","OK"))))))</x:f>
      </x:c>
    </x:row>
    <x:row r="249">
      <x:c r="D249" s="104"/>
      <x:c r="G249" s="100" t="str">
        <x:f>IF(A249="","",IF(COUNTIF($A$5:$A$404,A249)&gt;1,"DUPLICATE CLIENT",IF(COUNTIF(Clients!$A$5:$A$404,A249)=0,"CLIENT NOT FOUND",IF(B249="","CHOOSE PROFILE",IF(COUNTIF('Billing Profiles'!$A$5:$A$54,B249)=0,"PROFILE NOT FOUND",IF(OR(C249="",D249=""),"COMPLETE BILLING","OK"))))))</x:f>
      </x:c>
    </x:row>
    <x:row r="250">
      <x:c r="D250" s="104"/>
      <x:c r="G250" s="100" t="str">
        <x:f>IF(A250="","",IF(COUNTIF($A$5:$A$404,A250)&gt;1,"DUPLICATE CLIENT",IF(COUNTIF(Clients!$A$5:$A$404,A250)=0,"CLIENT NOT FOUND",IF(B250="","CHOOSE PROFILE",IF(COUNTIF('Billing Profiles'!$A$5:$A$54,B250)=0,"PROFILE NOT FOUND",IF(OR(C250="",D250=""),"COMPLETE BILLING","OK"))))))</x:f>
      </x:c>
    </x:row>
    <x:row r="251">
      <x:c r="D251" s="104"/>
      <x:c r="G251" s="100" t="str">
        <x:f>IF(A251="","",IF(COUNTIF($A$5:$A$404,A251)&gt;1,"DUPLICATE CLIENT",IF(COUNTIF(Clients!$A$5:$A$404,A251)=0,"CLIENT NOT FOUND",IF(B251="","CHOOSE PROFILE",IF(COUNTIF('Billing Profiles'!$A$5:$A$54,B251)=0,"PROFILE NOT FOUND",IF(OR(C251="",D251=""),"COMPLETE BILLING","OK"))))))</x:f>
      </x:c>
    </x:row>
    <x:row r="252">
      <x:c r="D252" s="104"/>
      <x:c r="G252" s="100" t="str">
        <x:f>IF(A252="","",IF(COUNTIF($A$5:$A$404,A252)&gt;1,"DUPLICATE CLIENT",IF(COUNTIF(Clients!$A$5:$A$404,A252)=0,"CLIENT NOT FOUND",IF(B252="","CHOOSE PROFILE",IF(COUNTIF('Billing Profiles'!$A$5:$A$54,B252)=0,"PROFILE NOT FOUND",IF(OR(C252="",D252=""),"COMPLETE BILLING","OK"))))))</x:f>
      </x:c>
    </x:row>
    <x:row r="253">
      <x:c r="D253" s="104"/>
      <x:c r="G253" s="100" t="str">
        <x:f>IF(A253="","",IF(COUNTIF($A$5:$A$404,A253)&gt;1,"DUPLICATE CLIENT",IF(COUNTIF(Clients!$A$5:$A$404,A253)=0,"CLIENT NOT FOUND",IF(B253="","CHOOSE PROFILE",IF(COUNTIF('Billing Profiles'!$A$5:$A$54,B253)=0,"PROFILE NOT FOUND",IF(OR(C253="",D253=""),"COMPLETE BILLING","OK"))))))</x:f>
      </x:c>
    </x:row>
    <x:row r="254">
      <x:c r="D254" s="104"/>
      <x:c r="G254" s="100" t="str">
        <x:f>IF(A254="","",IF(COUNTIF($A$5:$A$404,A254)&gt;1,"DUPLICATE CLIENT",IF(COUNTIF(Clients!$A$5:$A$404,A254)=0,"CLIENT NOT FOUND",IF(B254="","CHOOSE PROFILE",IF(COUNTIF('Billing Profiles'!$A$5:$A$54,B254)=0,"PROFILE NOT FOUND",IF(OR(C254="",D254=""),"COMPLETE BILLING","OK"))))))</x:f>
      </x:c>
    </x:row>
    <x:row r="255">
      <x:c r="D255" s="104"/>
      <x:c r="G255" s="100" t="str">
        <x:f>IF(A255="","",IF(COUNTIF($A$5:$A$404,A255)&gt;1,"DUPLICATE CLIENT",IF(COUNTIF(Clients!$A$5:$A$404,A255)=0,"CLIENT NOT FOUND",IF(B255="","CHOOSE PROFILE",IF(COUNTIF('Billing Profiles'!$A$5:$A$54,B255)=0,"PROFILE NOT FOUND",IF(OR(C255="",D255=""),"COMPLETE BILLING","OK"))))))</x:f>
      </x:c>
    </x:row>
    <x:row r="256">
      <x:c r="D256" s="104"/>
      <x:c r="G256" s="100" t="str">
        <x:f>IF(A256="","",IF(COUNTIF($A$5:$A$404,A256)&gt;1,"DUPLICATE CLIENT",IF(COUNTIF(Clients!$A$5:$A$404,A256)=0,"CLIENT NOT FOUND",IF(B256="","CHOOSE PROFILE",IF(COUNTIF('Billing Profiles'!$A$5:$A$54,B256)=0,"PROFILE NOT FOUND",IF(OR(C256="",D256=""),"COMPLETE BILLING","OK"))))))</x:f>
      </x:c>
    </x:row>
    <x:row r="257">
      <x:c r="D257" s="104"/>
      <x:c r="G257" s="100" t="str">
        <x:f>IF(A257="","",IF(COUNTIF($A$5:$A$404,A257)&gt;1,"DUPLICATE CLIENT",IF(COUNTIF(Clients!$A$5:$A$404,A257)=0,"CLIENT NOT FOUND",IF(B257="","CHOOSE PROFILE",IF(COUNTIF('Billing Profiles'!$A$5:$A$54,B257)=0,"PROFILE NOT FOUND",IF(OR(C257="",D257=""),"COMPLETE BILLING","OK"))))))</x:f>
      </x:c>
    </x:row>
    <x:row r="258">
      <x:c r="D258" s="104"/>
      <x:c r="G258" s="100" t="str">
        <x:f>IF(A258="","",IF(COUNTIF($A$5:$A$404,A258)&gt;1,"DUPLICATE CLIENT",IF(COUNTIF(Clients!$A$5:$A$404,A258)=0,"CLIENT NOT FOUND",IF(B258="","CHOOSE PROFILE",IF(COUNTIF('Billing Profiles'!$A$5:$A$54,B258)=0,"PROFILE NOT FOUND",IF(OR(C258="",D258=""),"COMPLETE BILLING","OK"))))))</x:f>
      </x:c>
    </x:row>
    <x:row r="259">
      <x:c r="D259" s="104"/>
      <x:c r="G259" s="100" t="str">
        <x:f>IF(A259="","",IF(COUNTIF($A$5:$A$404,A259)&gt;1,"DUPLICATE CLIENT",IF(COUNTIF(Clients!$A$5:$A$404,A259)=0,"CLIENT NOT FOUND",IF(B259="","CHOOSE PROFILE",IF(COUNTIF('Billing Profiles'!$A$5:$A$54,B259)=0,"PROFILE NOT FOUND",IF(OR(C259="",D259=""),"COMPLETE BILLING","OK"))))))</x:f>
      </x:c>
    </x:row>
    <x:row r="260">
      <x:c r="D260" s="104"/>
      <x:c r="G260" s="100" t="str">
        <x:f>IF(A260="","",IF(COUNTIF($A$5:$A$404,A260)&gt;1,"DUPLICATE CLIENT",IF(COUNTIF(Clients!$A$5:$A$404,A260)=0,"CLIENT NOT FOUND",IF(B260="","CHOOSE PROFILE",IF(COUNTIF('Billing Profiles'!$A$5:$A$54,B260)=0,"PROFILE NOT FOUND",IF(OR(C260="",D260=""),"COMPLETE BILLING","OK"))))))</x:f>
      </x:c>
    </x:row>
    <x:row r="261">
      <x:c r="D261" s="104"/>
      <x:c r="G261" s="100" t="str">
        <x:f>IF(A261="","",IF(COUNTIF($A$5:$A$404,A261)&gt;1,"DUPLICATE CLIENT",IF(COUNTIF(Clients!$A$5:$A$404,A261)=0,"CLIENT NOT FOUND",IF(B261="","CHOOSE PROFILE",IF(COUNTIF('Billing Profiles'!$A$5:$A$54,B261)=0,"PROFILE NOT FOUND",IF(OR(C261="",D261=""),"COMPLETE BILLING","OK"))))))</x:f>
      </x:c>
    </x:row>
    <x:row r="262">
      <x:c r="D262" s="104"/>
      <x:c r="G262" s="100" t="str">
        <x:f>IF(A262="","",IF(COUNTIF($A$5:$A$404,A262)&gt;1,"DUPLICATE CLIENT",IF(COUNTIF(Clients!$A$5:$A$404,A262)=0,"CLIENT NOT FOUND",IF(B262="","CHOOSE PROFILE",IF(COUNTIF('Billing Profiles'!$A$5:$A$54,B262)=0,"PROFILE NOT FOUND",IF(OR(C262="",D262=""),"COMPLETE BILLING","OK"))))))</x:f>
      </x:c>
    </x:row>
    <x:row r="263">
      <x:c r="D263" s="104"/>
      <x:c r="G263" s="100" t="str">
        <x:f>IF(A263="","",IF(COUNTIF($A$5:$A$404,A263)&gt;1,"DUPLICATE CLIENT",IF(COUNTIF(Clients!$A$5:$A$404,A263)=0,"CLIENT NOT FOUND",IF(B263="","CHOOSE PROFILE",IF(COUNTIF('Billing Profiles'!$A$5:$A$54,B263)=0,"PROFILE NOT FOUND",IF(OR(C263="",D263=""),"COMPLETE BILLING","OK"))))))</x:f>
      </x:c>
    </x:row>
    <x:row r="264">
      <x:c r="D264" s="104"/>
      <x:c r="G264" s="100" t="str">
        <x:f>IF(A264="","",IF(COUNTIF($A$5:$A$404,A264)&gt;1,"DUPLICATE CLIENT",IF(COUNTIF(Clients!$A$5:$A$404,A264)=0,"CLIENT NOT FOUND",IF(B264="","CHOOSE PROFILE",IF(COUNTIF('Billing Profiles'!$A$5:$A$54,B264)=0,"PROFILE NOT FOUND",IF(OR(C264="",D264=""),"COMPLETE BILLING","OK"))))))</x:f>
      </x:c>
    </x:row>
    <x:row r="265">
      <x:c r="D265" s="104"/>
      <x:c r="G265" s="100" t="str">
        <x:f>IF(A265="","",IF(COUNTIF($A$5:$A$404,A265)&gt;1,"DUPLICATE CLIENT",IF(COUNTIF(Clients!$A$5:$A$404,A265)=0,"CLIENT NOT FOUND",IF(B265="","CHOOSE PROFILE",IF(COUNTIF('Billing Profiles'!$A$5:$A$54,B265)=0,"PROFILE NOT FOUND",IF(OR(C265="",D265=""),"COMPLETE BILLING","OK"))))))</x:f>
      </x:c>
    </x:row>
    <x:row r="266">
      <x:c r="D266" s="104"/>
      <x:c r="G266" s="100" t="str">
        <x:f>IF(A266="","",IF(COUNTIF($A$5:$A$404,A266)&gt;1,"DUPLICATE CLIENT",IF(COUNTIF(Clients!$A$5:$A$404,A266)=0,"CLIENT NOT FOUND",IF(B266="","CHOOSE PROFILE",IF(COUNTIF('Billing Profiles'!$A$5:$A$54,B266)=0,"PROFILE NOT FOUND",IF(OR(C266="",D266=""),"COMPLETE BILLING","OK"))))))</x:f>
      </x:c>
    </x:row>
    <x:row r="267">
      <x:c r="D267" s="104"/>
      <x:c r="G267" s="100" t="str">
        <x:f>IF(A267="","",IF(COUNTIF($A$5:$A$404,A267)&gt;1,"DUPLICATE CLIENT",IF(COUNTIF(Clients!$A$5:$A$404,A267)=0,"CLIENT NOT FOUND",IF(B267="","CHOOSE PROFILE",IF(COUNTIF('Billing Profiles'!$A$5:$A$54,B267)=0,"PROFILE NOT FOUND",IF(OR(C267="",D267=""),"COMPLETE BILLING","OK"))))))</x:f>
      </x:c>
    </x:row>
    <x:row r="268">
      <x:c r="D268" s="104"/>
      <x:c r="G268" s="100" t="str">
        <x:f>IF(A268="","",IF(COUNTIF($A$5:$A$404,A268)&gt;1,"DUPLICATE CLIENT",IF(COUNTIF(Clients!$A$5:$A$404,A268)=0,"CLIENT NOT FOUND",IF(B268="","CHOOSE PROFILE",IF(COUNTIF('Billing Profiles'!$A$5:$A$54,B268)=0,"PROFILE NOT FOUND",IF(OR(C268="",D268=""),"COMPLETE BILLING","OK"))))))</x:f>
      </x:c>
    </x:row>
    <x:row r="269">
      <x:c r="D269" s="104"/>
      <x:c r="G269" s="100" t="str">
        <x:f>IF(A269="","",IF(COUNTIF($A$5:$A$404,A269)&gt;1,"DUPLICATE CLIENT",IF(COUNTIF(Clients!$A$5:$A$404,A269)=0,"CLIENT NOT FOUND",IF(B269="","CHOOSE PROFILE",IF(COUNTIF('Billing Profiles'!$A$5:$A$54,B269)=0,"PROFILE NOT FOUND",IF(OR(C269="",D269=""),"COMPLETE BILLING","OK"))))))</x:f>
      </x:c>
    </x:row>
    <x:row r="270">
      <x:c r="D270" s="104"/>
      <x:c r="G270" s="100" t="str">
        <x:f>IF(A270="","",IF(COUNTIF($A$5:$A$404,A270)&gt;1,"DUPLICATE CLIENT",IF(COUNTIF(Clients!$A$5:$A$404,A270)=0,"CLIENT NOT FOUND",IF(B270="","CHOOSE PROFILE",IF(COUNTIF('Billing Profiles'!$A$5:$A$54,B270)=0,"PROFILE NOT FOUND",IF(OR(C270="",D270=""),"COMPLETE BILLING","OK"))))))</x:f>
      </x:c>
    </x:row>
    <x:row r="271">
      <x:c r="D271" s="104"/>
      <x:c r="G271" s="100" t="str">
        <x:f>IF(A271="","",IF(COUNTIF($A$5:$A$404,A271)&gt;1,"DUPLICATE CLIENT",IF(COUNTIF(Clients!$A$5:$A$404,A271)=0,"CLIENT NOT FOUND",IF(B271="","CHOOSE PROFILE",IF(COUNTIF('Billing Profiles'!$A$5:$A$54,B271)=0,"PROFILE NOT FOUND",IF(OR(C271="",D271=""),"COMPLETE BILLING","OK"))))))</x:f>
      </x:c>
    </x:row>
    <x:row r="272">
      <x:c r="D272" s="104"/>
      <x:c r="G272" s="100" t="str">
        <x:f>IF(A272="","",IF(COUNTIF($A$5:$A$404,A272)&gt;1,"DUPLICATE CLIENT",IF(COUNTIF(Clients!$A$5:$A$404,A272)=0,"CLIENT NOT FOUND",IF(B272="","CHOOSE PROFILE",IF(COUNTIF('Billing Profiles'!$A$5:$A$54,B272)=0,"PROFILE NOT FOUND",IF(OR(C272="",D272=""),"COMPLETE BILLING","OK"))))))</x:f>
      </x:c>
    </x:row>
    <x:row r="273">
      <x:c r="D273" s="104"/>
      <x:c r="G273" s="100" t="str">
        <x:f>IF(A273="","",IF(COUNTIF($A$5:$A$404,A273)&gt;1,"DUPLICATE CLIENT",IF(COUNTIF(Clients!$A$5:$A$404,A273)=0,"CLIENT NOT FOUND",IF(B273="","CHOOSE PROFILE",IF(COUNTIF('Billing Profiles'!$A$5:$A$54,B273)=0,"PROFILE NOT FOUND",IF(OR(C273="",D273=""),"COMPLETE BILLING","OK"))))))</x:f>
      </x:c>
    </x:row>
    <x:row r="274">
      <x:c r="D274" s="104"/>
      <x:c r="G274" s="100" t="str">
        <x:f>IF(A274="","",IF(COUNTIF($A$5:$A$404,A274)&gt;1,"DUPLICATE CLIENT",IF(COUNTIF(Clients!$A$5:$A$404,A274)=0,"CLIENT NOT FOUND",IF(B274="","CHOOSE PROFILE",IF(COUNTIF('Billing Profiles'!$A$5:$A$54,B274)=0,"PROFILE NOT FOUND",IF(OR(C274="",D274=""),"COMPLETE BILLING","OK"))))))</x:f>
      </x:c>
    </x:row>
    <x:row r="275">
      <x:c r="D275" s="104"/>
      <x:c r="G275" s="100" t="str">
        <x:f>IF(A275="","",IF(COUNTIF($A$5:$A$404,A275)&gt;1,"DUPLICATE CLIENT",IF(COUNTIF(Clients!$A$5:$A$404,A275)=0,"CLIENT NOT FOUND",IF(B275="","CHOOSE PROFILE",IF(COUNTIF('Billing Profiles'!$A$5:$A$54,B275)=0,"PROFILE NOT FOUND",IF(OR(C275="",D275=""),"COMPLETE BILLING","OK"))))))</x:f>
      </x:c>
    </x:row>
    <x:row r="276">
      <x:c r="D276" s="104"/>
      <x:c r="G276" s="100" t="str">
        <x:f>IF(A276="","",IF(COUNTIF($A$5:$A$404,A276)&gt;1,"DUPLICATE CLIENT",IF(COUNTIF(Clients!$A$5:$A$404,A276)=0,"CLIENT NOT FOUND",IF(B276="","CHOOSE PROFILE",IF(COUNTIF('Billing Profiles'!$A$5:$A$54,B276)=0,"PROFILE NOT FOUND",IF(OR(C276="",D276=""),"COMPLETE BILLING","OK"))))))</x:f>
      </x:c>
    </x:row>
    <x:row r="277">
      <x:c r="D277" s="104"/>
      <x:c r="G277" s="100" t="str">
        <x:f>IF(A277="","",IF(COUNTIF($A$5:$A$404,A277)&gt;1,"DUPLICATE CLIENT",IF(COUNTIF(Clients!$A$5:$A$404,A277)=0,"CLIENT NOT FOUND",IF(B277="","CHOOSE PROFILE",IF(COUNTIF('Billing Profiles'!$A$5:$A$54,B277)=0,"PROFILE NOT FOUND",IF(OR(C277="",D277=""),"COMPLETE BILLING","OK"))))))</x:f>
      </x:c>
    </x:row>
    <x:row r="278">
      <x:c r="D278" s="104"/>
      <x:c r="G278" s="100" t="str">
        <x:f>IF(A278="","",IF(COUNTIF($A$5:$A$404,A278)&gt;1,"DUPLICATE CLIENT",IF(COUNTIF(Clients!$A$5:$A$404,A278)=0,"CLIENT NOT FOUND",IF(B278="","CHOOSE PROFILE",IF(COUNTIF('Billing Profiles'!$A$5:$A$54,B278)=0,"PROFILE NOT FOUND",IF(OR(C278="",D278=""),"COMPLETE BILLING","OK"))))))</x:f>
      </x:c>
    </x:row>
    <x:row r="279">
      <x:c r="D279" s="104"/>
      <x:c r="G279" s="100" t="str">
        <x:f>IF(A279="","",IF(COUNTIF($A$5:$A$404,A279)&gt;1,"DUPLICATE CLIENT",IF(COUNTIF(Clients!$A$5:$A$404,A279)=0,"CLIENT NOT FOUND",IF(B279="","CHOOSE PROFILE",IF(COUNTIF('Billing Profiles'!$A$5:$A$54,B279)=0,"PROFILE NOT FOUND",IF(OR(C279="",D279=""),"COMPLETE BILLING","OK"))))))</x:f>
      </x:c>
    </x:row>
    <x:row r="280">
      <x:c r="D280" s="104"/>
      <x:c r="G280" s="100" t="str">
        <x:f>IF(A280="","",IF(COUNTIF($A$5:$A$404,A280)&gt;1,"DUPLICATE CLIENT",IF(COUNTIF(Clients!$A$5:$A$404,A280)=0,"CLIENT NOT FOUND",IF(B280="","CHOOSE PROFILE",IF(COUNTIF('Billing Profiles'!$A$5:$A$54,B280)=0,"PROFILE NOT FOUND",IF(OR(C280="",D280=""),"COMPLETE BILLING","OK"))))))</x:f>
      </x:c>
    </x:row>
    <x:row r="281">
      <x:c r="D281" s="104"/>
      <x:c r="G281" s="100" t="str">
        <x:f>IF(A281="","",IF(COUNTIF($A$5:$A$404,A281)&gt;1,"DUPLICATE CLIENT",IF(COUNTIF(Clients!$A$5:$A$404,A281)=0,"CLIENT NOT FOUND",IF(B281="","CHOOSE PROFILE",IF(COUNTIF('Billing Profiles'!$A$5:$A$54,B281)=0,"PROFILE NOT FOUND",IF(OR(C281="",D281=""),"COMPLETE BILLING","OK"))))))</x:f>
      </x:c>
    </x:row>
    <x:row r="282">
      <x:c r="D282" s="104"/>
      <x:c r="G282" s="100" t="str">
        <x:f>IF(A282="","",IF(COUNTIF($A$5:$A$404,A282)&gt;1,"DUPLICATE CLIENT",IF(COUNTIF(Clients!$A$5:$A$404,A282)=0,"CLIENT NOT FOUND",IF(B282="","CHOOSE PROFILE",IF(COUNTIF('Billing Profiles'!$A$5:$A$54,B282)=0,"PROFILE NOT FOUND",IF(OR(C282="",D282=""),"COMPLETE BILLING","OK"))))))</x:f>
      </x:c>
    </x:row>
    <x:row r="283">
      <x:c r="D283" s="104"/>
      <x:c r="G283" s="100" t="str">
        <x:f>IF(A283="","",IF(COUNTIF($A$5:$A$404,A283)&gt;1,"DUPLICATE CLIENT",IF(COUNTIF(Clients!$A$5:$A$404,A283)=0,"CLIENT NOT FOUND",IF(B283="","CHOOSE PROFILE",IF(COUNTIF('Billing Profiles'!$A$5:$A$54,B283)=0,"PROFILE NOT FOUND",IF(OR(C283="",D283=""),"COMPLETE BILLING","OK"))))))</x:f>
      </x:c>
    </x:row>
    <x:row r="284">
      <x:c r="D284" s="104"/>
      <x:c r="G284" s="100" t="str">
        <x:f>IF(A284="","",IF(COUNTIF($A$5:$A$404,A284)&gt;1,"DUPLICATE CLIENT",IF(COUNTIF(Clients!$A$5:$A$404,A284)=0,"CLIENT NOT FOUND",IF(B284="","CHOOSE PROFILE",IF(COUNTIF('Billing Profiles'!$A$5:$A$54,B284)=0,"PROFILE NOT FOUND",IF(OR(C284="",D284=""),"COMPLETE BILLING","OK"))))))</x:f>
      </x:c>
    </x:row>
    <x:row r="285">
      <x:c r="D285" s="104"/>
      <x:c r="G285" s="100" t="str">
        <x:f>IF(A285="","",IF(COUNTIF($A$5:$A$404,A285)&gt;1,"DUPLICATE CLIENT",IF(COUNTIF(Clients!$A$5:$A$404,A285)=0,"CLIENT NOT FOUND",IF(B285="","CHOOSE PROFILE",IF(COUNTIF('Billing Profiles'!$A$5:$A$54,B285)=0,"PROFILE NOT FOUND",IF(OR(C285="",D285=""),"COMPLETE BILLING","OK"))))))</x:f>
      </x:c>
    </x:row>
    <x:row r="286">
      <x:c r="D286" s="104"/>
      <x:c r="G286" s="100" t="str">
        <x:f>IF(A286="","",IF(COUNTIF($A$5:$A$404,A286)&gt;1,"DUPLICATE CLIENT",IF(COUNTIF(Clients!$A$5:$A$404,A286)=0,"CLIENT NOT FOUND",IF(B286="","CHOOSE PROFILE",IF(COUNTIF('Billing Profiles'!$A$5:$A$54,B286)=0,"PROFILE NOT FOUND",IF(OR(C286="",D286=""),"COMPLETE BILLING","OK"))))))</x:f>
      </x:c>
    </x:row>
    <x:row r="287">
      <x:c r="D287" s="104"/>
      <x:c r="G287" s="100" t="str">
        <x:f>IF(A287="","",IF(COUNTIF($A$5:$A$404,A287)&gt;1,"DUPLICATE CLIENT",IF(COUNTIF(Clients!$A$5:$A$404,A287)=0,"CLIENT NOT FOUND",IF(B287="","CHOOSE PROFILE",IF(COUNTIF('Billing Profiles'!$A$5:$A$54,B287)=0,"PROFILE NOT FOUND",IF(OR(C287="",D287=""),"COMPLETE BILLING","OK"))))))</x:f>
      </x:c>
    </x:row>
    <x:row r="288">
      <x:c r="D288" s="104"/>
      <x:c r="G288" s="100" t="str">
        <x:f>IF(A288="","",IF(COUNTIF($A$5:$A$404,A288)&gt;1,"DUPLICATE CLIENT",IF(COUNTIF(Clients!$A$5:$A$404,A288)=0,"CLIENT NOT FOUND",IF(B288="","CHOOSE PROFILE",IF(COUNTIF('Billing Profiles'!$A$5:$A$54,B288)=0,"PROFILE NOT FOUND",IF(OR(C288="",D288=""),"COMPLETE BILLING","OK"))))))</x:f>
      </x:c>
    </x:row>
    <x:row r="289">
      <x:c r="D289" s="104"/>
      <x:c r="G289" s="100" t="str">
        <x:f>IF(A289="","",IF(COUNTIF($A$5:$A$404,A289)&gt;1,"DUPLICATE CLIENT",IF(COUNTIF(Clients!$A$5:$A$404,A289)=0,"CLIENT NOT FOUND",IF(B289="","CHOOSE PROFILE",IF(COUNTIF('Billing Profiles'!$A$5:$A$54,B289)=0,"PROFILE NOT FOUND",IF(OR(C289="",D289=""),"COMPLETE BILLING","OK"))))))</x:f>
      </x:c>
    </x:row>
    <x:row r="290">
      <x:c r="D290" s="104"/>
      <x:c r="G290" s="100" t="str">
        <x:f>IF(A290="","",IF(COUNTIF($A$5:$A$404,A290)&gt;1,"DUPLICATE CLIENT",IF(COUNTIF(Clients!$A$5:$A$404,A290)=0,"CLIENT NOT FOUND",IF(B290="","CHOOSE PROFILE",IF(COUNTIF('Billing Profiles'!$A$5:$A$54,B290)=0,"PROFILE NOT FOUND",IF(OR(C290="",D290=""),"COMPLETE BILLING","OK"))))))</x:f>
      </x:c>
    </x:row>
    <x:row r="291">
      <x:c r="D291" s="104"/>
      <x:c r="G291" s="100" t="str">
        <x:f>IF(A291="","",IF(COUNTIF($A$5:$A$404,A291)&gt;1,"DUPLICATE CLIENT",IF(COUNTIF(Clients!$A$5:$A$404,A291)=0,"CLIENT NOT FOUND",IF(B291="","CHOOSE PROFILE",IF(COUNTIF('Billing Profiles'!$A$5:$A$54,B291)=0,"PROFILE NOT FOUND",IF(OR(C291="",D291=""),"COMPLETE BILLING","OK"))))))</x:f>
      </x:c>
    </x:row>
    <x:row r="292">
      <x:c r="D292" s="104"/>
      <x:c r="G292" s="100" t="str">
        <x:f>IF(A292="","",IF(COUNTIF($A$5:$A$404,A292)&gt;1,"DUPLICATE CLIENT",IF(COUNTIF(Clients!$A$5:$A$404,A292)=0,"CLIENT NOT FOUND",IF(B292="","CHOOSE PROFILE",IF(COUNTIF('Billing Profiles'!$A$5:$A$54,B292)=0,"PROFILE NOT FOUND",IF(OR(C292="",D292=""),"COMPLETE BILLING","OK"))))))</x:f>
      </x:c>
    </x:row>
    <x:row r="293">
      <x:c r="D293" s="104"/>
      <x:c r="G293" s="100" t="str">
        <x:f>IF(A293="","",IF(COUNTIF($A$5:$A$404,A293)&gt;1,"DUPLICATE CLIENT",IF(COUNTIF(Clients!$A$5:$A$404,A293)=0,"CLIENT NOT FOUND",IF(B293="","CHOOSE PROFILE",IF(COUNTIF('Billing Profiles'!$A$5:$A$54,B293)=0,"PROFILE NOT FOUND",IF(OR(C293="",D293=""),"COMPLETE BILLING","OK"))))))</x:f>
      </x:c>
    </x:row>
    <x:row r="294">
      <x:c r="D294" s="104"/>
      <x:c r="G294" s="100" t="str">
        <x:f>IF(A294="","",IF(COUNTIF($A$5:$A$404,A294)&gt;1,"DUPLICATE CLIENT",IF(COUNTIF(Clients!$A$5:$A$404,A294)=0,"CLIENT NOT FOUND",IF(B294="","CHOOSE PROFILE",IF(COUNTIF('Billing Profiles'!$A$5:$A$54,B294)=0,"PROFILE NOT FOUND",IF(OR(C294="",D294=""),"COMPLETE BILLING","OK"))))))</x:f>
      </x:c>
    </x:row>
    <x:row r="295">
      <x:c r="D295" s="104"/>
      <x:c r="G295" s="100" t="str">
        <x:f>IF(A295="","",IF(COUNTIF($A$5:$A$404,A295)&gt;1,"DUPLICATE CLIENT",IF(COUNTIF(Clients!$A$5:$A$404,A295)=0,"CLIENT NOT FOUND",IF(B295="","CHOOSE PROFILE",IF(COUNTIF('Billing Profiles'!$A$5:$A$54,B295)=0,"PROFILE NOT FOUND",IF(OR(C295="",D295=""),"COMPLETE BILLING","OK"))))))</x:f>
      </x:c>
    </x:row>
    <x:row r="296">
      <x:c r="D296" s="104"/>
      <x:c r="G296" s="100" t="str">
        <x:f>IF(A296="","",IF(COUNTIF($A$5:$A$404,A296)&gt;1,"DUPLICATE CLIENT",IF(COUNTIF(Clients!$A$5:$A$404,A296)=0,"CLIENT NOT FOUND",IF(B296="","CHOOSE PROFILE",IF(COUNTIF('Billing Profiles'!$A$5:$A$54,B296)=0,"PROFILE NOT FOUND",IF(OR(C296="",D296=""),"COMPLETE BILLING","OK"))))))</x:f>
      </x:c>
    </x:row>
    <x:row r="297">
      <x:c r="D297" s="104"/>
      <x:c r="G297" s="100" t="str">
        <x:f>IF(A297="","",IF(COUNTIF($A$5:$A$404,A297)&gt;1,"DUPLICATE CLIENT",IF(COUNTIF(Clients!$A$5:$A$404,A297)=0,"CLIENT NOT FOUND",IF(B297="","CHOOSE PROFILE",IF(COUNTIF('Billing Profiles'!$A$5:$A$54,B297)=0,"PROFILE NOT FOUND",IF(OR(C297="",D297=""),"COMPLETE BILLING","OK"))))))</x:f>
      </x:c>
    </x:row>
    <x:row r="298">
      <x:c r="D298" s="104"/>
      <x:c r="G298" s="100" t="str">
        <x:f>IF(A298="","",IF(COUNTIF($A$5:$A$404,A298)&gt;1,"DUPLICATE CLIENT",IF(COUNTIF(Clients!$A$5:$A$404,A298)=0,"CLIENT NOT FOUND",IF(B298="","CHOOSE PROFILE",IF(COUNTIF('Billing Profiles'!$A$5:$A$54,B298)=0,"PROFILE NOT FOUND",IF(OR(C298="",D298=""),"COMPLETE BILLING","OK"))))))</x:f>
      </x:c>
    </x:row>
    <x:row r="299">
      <x:c r="D299" s="104"/>
      <x:c r="G299" s="100" t="str">
        <x:f>IF(A299="","",IF(COUNTIF($A$5:$A$404,A299)&gt;1,"DUPLICATE CLIENT",IF(COUNTIF(Clients!$A$5:$A$404,A299)=0,"CLIENT NOT FOUND",IF(B299="","CHOOSE PROFILE",IF(COUNTIF('Billing Profiles'!$A$5:$A$54,B299)=0,"PROFILE NOT FOUND",IF(OR(C299="",D299=""),"COMPLETE BILLING","OK"))))))</x:f>
      </x:c>
    </x:row>
    <x:row r="300">
      <x:c r="D300" s="104"/>
      <x:c r="G300" s="100" t="str">
        <x:f>IF(A300="","",IF(COUNTIF($A$5:$A$404,A300)&gt;1,"DUPLICATE CLIENT",IF(COUNTIF(Clients!$A$5:$A$404,A300)=0,"CLIENT NOT FOUND",IF(B300="","CHOOSE PROFILE",IF(COUNTIF('Billing Profiles'!$A$5:$A$54,B300)=0,"PROFILE NOT FOUND",IF(OR(C300="",D300=""),"COMPLETE BILLING","OK"))))))</x:f>
      </x:c>
    </x:row>
    <x:row r="301">
      <x:c r="D301" s="104"/>
      <x:c r="G301" s="100" t="str">
        <x:f>IF(A301="","",IF(COUNTIF($A$5:$A$404,A301)&gt;1,"DUPLICATE CLIENT",IF(COUNTIF(Clients!$A$5:$A$404,A301)=0,"CLIENT NOT FOUND",IF(B301="","CHOOSE PROFILE",IF(COUNTIF('Billing Profiles'!$A$5:$A$54,B301)=0,"PROFILE NOT FOUND",IF(OR(C301="",D301=""),"COMPLETE BILLING","OK"))))))</x:f>
      </x:c>
    </x:row>
    <x:row r="302">
      <x:c r="D302" s="104"/>
      <x:c r="G302" s="100" t="str">
        <x:f>IF(A302="","",IF(COUNTIF($A$5:$A$404,A302)&gt;1,"DUPLICATE CLIENT",IF(COUNTIF(Clients!$A$5:$A$404,A302)=0,"CLIENT NOT FOUND",IF(B302="","CHOOSE PROFILE",IF(COUNTIF('Billing Profiles'!$A$5:$A$54,B302)=0,"PROFILE NOT FOUND",IF(OR(C302="",D302=""),"COMPLETE BILLING","OK"))))))</x:f>
      </x:c>
    </x:row>
    <x:row r="303">
      <x:c r="D303" s="104"/>
      <x:c r="G303" s="100" t="str">
        <x:f>IF(A303="","",IF(COUNTIF($A$5:$A$404,A303)&gt;1,"DUPLICATE CLIENT",IF(COUNTIF(Clients!$A$5:$A$404,A303)=0,"CLIENT NOT FOUND",IF(B303="","CHOOSE PROFILE",IF(COUNTIF('Billing Profiles'!$A$5:$A$54,B303)=0,"PROFILE NOT FOUND",IF(OR(C303="",D303=""),"COMPLETE BILLING","OK"))))))</x:f>
      </x:c>
    </x:row>
    <x:row r="304">
      <x:c r="D304" s="104"/>
      <x:c r="G304" s="100" t="str">
        <x:f>IF(A304="","",IF(COUNTIF($A$5:$A$404,A304)&gt;1,"DUPLICATE CLIENT",IF(COUNTIF(Clients!$A$5:$A$404,A304)=0,"CLIENT NOT FOUND",IF(B304="","CHOOSE PROFILE",IF(COUNTIF('Billing Profiles'!$A$5:$A$54,B304)=0,"PROFILE NOT FOUND",IF(OR(C304="",D304=""),"COMPLETE BILLING","OK"))))))</x:f>
      </x:c>
    </x:row>
    <x:row r="305">
      <x:c r="D305" s="104"/>
      <x:c r="G305" s="100" t="str">
        <x:f>IF(A305="","",IF(COUNTIF($A$5:$A$404,A305)&gt;1,"DUPLICATE CLIENT",IF(COUNTIF(Clients!$A$5:$A$404,A305)=0,"CLIENT NOT FOUND",IF(B305="","CHOOSE PROFILE",IF(COUNTIF('Billing Profiles'!$A$5:$A$54,B305)=0,"PROFILE NOT FOUND",IF(OR(C305="",D305=""),"COMPLETE BILLING","OK"))))))</x:f>
      </x:c>
    </x:row>
    <x:row r="306">
      <x:c r="D306" s="104"/>
      <x:c r="G306" s="100" t="str">
        <x:f>IF(A306="","",IF(COUNTIF($A$5:$A$404,A306)&gt;1,"DUPLICATE CLIENT",IF(COUNTIF(Clients!$A$5:$A$404,A306)=0,"CLIENT NOT FOUND",IF(B306="","CHOOSE PROFILE",IF(COUNTIF('Billing Profiles'!$A$5:$A$54,B306)=0,"PROFILE NOT FOUND",IF(OR(C306="",D306=""),"COMPLETE BILLING","OK"))))))</x:f>
      </x:c>
    </x:row>
    <x:row r="307">
      <x:c r="D307" s="104"/>
      <x:c r="G307" s="100" t="str">
        <x:f>IF(A307="","",IF(COUNTIF($A$5:$A$404,A307)&gt;1,"DUPLICATE CLIENT",IF(COUNTIF(Clients!$A$5:$A$404,A307)=0,"CLIENT NOT FOUND",IF(B307="","CHOOSE PROFILE",IF(COUNTIF('Billing Profiles'!$A$5:$A$54,B307)=0,"PROFILE NOT FOUND",IF(OR(C307="",D307=""),"COMPLETE BILLING","OK"))))))</x:f>
      </x:c>
    </x:row>
    <x:row r="308">
      <x:c r="D308" s="104"/>
      <x:c r="G308" s="100" t="str">
        <x:f>IF(A308="","",IF(COUNTIF($A$5:$A$404,A308)&gt;1,"DUPLICATE CLIENT",IF(COUNTIF(Clients!$A$5:$A$404,A308)=0,"CLIENT NOT FOUND",IF(B308="","CHOOSE PROFILE",IF(COUNTIF('Billing Profiles'!$A$5:$A$54,B308)=0,"PROFILE NOT FOUND",IF(OR(C308="",D308=""),"COMPLETE BILLING","OK"))))))</x:f>
      </x:c>
    </x:row>
    <x:row r="309">
      <x:c r="D309" s="104"/>
      <x:c r="G309" s="100" t="str">
        <x:f>IF(A309="","",IF(COUNTIF($A$5:$A$404,A309)&gt;1,"DUPLICATE CLIENT",IF(COUNTIF(Clients!$A$5:$A$404,A309)=0,"CLIENT NOT FOUND",IF(B309="","CHOOSE PROFILE",IF(COUNTIF('Billing Profiles'!$A$5:$A$54,B309)=0,"PROFILE NOT FOUND",IF(OR(C309="",D309=""),"COMPLETE BILLING","OK"))))))</x:f>
      </x:c>
    </x:row>
    <x:row r="310">
      <x:c r="D310" s="104"/>
      <x:c r="G310" s="100" t="str">
        <x:f>IF(A310="","",IF(COUNTIF($A$5:$A$404,A310)&gt;1,"DUPLICATE CLIENT",IF(COUNTIF(Clients!$A$5:$A$404,A310)=0,"CLIENT NOT FOUND",IF(B310="","CHOOSE PROFILE",IF(COUNTIF('Billing Profiles'!$A$5:$A$54,B310)=0,"PROFILE NOT FOUND",IF(OR(C310="",D310=""),"COMPLETE BILLING","OK"))))))</x:f>
      </x:c>
    </x:row>
    <x:row r="311">
      <x:c r="D311" s="104"/>
      <x:c r="G311" s="100" t="str">
        <x:f>IF(A311="","",IF(COUNTIF($A$5:$A$404,A311)&gt;1,"DUPLICATE CLIENT",IF(COUNTIF(Clients!$A$5:$A$404,A311)=0,"CLIENT NOT FOUND",IF(B311="","CHOOSE PROFILE",IF(COUNTIF('Billing Profiles'!$A$5:$A$54,B311)=0,"PROFILE NOT FOUND",IF(OR(C311="",D311=""),"COMPLETE BILLING","OK"))))))</x:f>
      </x:c>
    </x:row>
    <x:row r="312">
      <x:c r="D312" s="104"/>
      <x:c r="G312" s="100" t="str">
        <x:f>IF(A312="","",IF(COUNTIF($A$5:$A$404,A312)&gt;1,"DUPLICATE CLIENT",IF(COUNTIF(Clients!$A$5:$A$404,A312)=0,"CLIENT NOT FOUND",IF(B312="","CHOOSE PROFILE",IF(COUNTIF('Billing Profiles'!$A$5:$A$54,B312)=0,"PROFILE NOT FOUND",IF(OR(C312="",D312=""),"COMPLETE BILLING","OK"))))))</x:f>
      </x:c>
    </x:row>
    <x:row r="313">
      <x:c r="D313" s="104"/>
      <x:c r="G313" s="100" t="str">
        <x:f>IF(A313="","",IF(COUNTIF($A$5:$A$404,A313)&gt;1,"DUPLICATE CLIENT",IF(COUNTIF(Clients!$A$5:$A$404,A313)=0,"CLIENT NOT FOUND",IF(B313="","CHOOSE PROFILE",IF(COUNTIF('Billing Profiles'!$A$5:$A$54,B313)=0,"PROFILE NOT FOUND",IF(OR(C313="",D313=""),"COMPLETE BILLING","OK"))))))</x:f>
      </x:c>
    </x:row>
    <x:row r="314">
      <x:c r="D314" s="104"/>
      <x:c r="G314" s="100" t="str">
        <x:f>IF(A314="","",IF(COUNTIF($A$5:$A$404,A314)&gt;1,"DUPLICATE CLIENT",IF(COUNTIF(Clients!$A$5:$A$404,A314)=0,"CLIENT NOT FOUND",IF(B314="","CHOOSE PROFILE",IF(COUNTIF('Billing Profiles'!$A$5:$A$54,B314)=0,"PROFILE NOT FOUND",IF(OR(C314="",D314=""),"COMPLETE BILLING","OK"))))))</x:f>
      </x:c>
    </x:row>
    <x:row r="315">
      <x:c r="D315" s="104"/>
      <x:c r="G315" s="100" t="str">
        <x:f>IF(A315="","",IF(COUNTIF($A$5:$A$404,A315)&gt;1,"DUPLICATE CLIENT",IF(COUNTIF(Clients!$A$5:$A$404,A315)=0,"CLIENT NOT FOUND",IF(B315="","CHOOSE PROFILE",IF(COUNTIF('Billing Profiles'!$A$5:$A$54,B315)=0,"PROFILE NOT FOUND",IF(OR(C315="",D315=""),"COMPLETE BILLING","OK"))))))</x:f>
      </x:c>
    </x:row>
    <x:row r="316">
      <x:c r="D316" s="104"/>
      <x:c r="G316" s="100" t="str">
        <x:f>IF(A316="","",IF(COUNTIF($A$5:$A$404,A316)&gt;1,"DUPLICATE CLIENT",IF(COUNTIF(Clients!$A$5:$A$404,A316)=0,"CLIENT NOT FOUND",IF(B316="","CHOOSE PROFILE",IF(COUNTIF('Billing Profiles'!$A$5:$A$54,B316)=0,"PROFILE NOT FOUND",IF(OR(C316="",D316=""),"COMPLETE BILLING","OK"))))))</x:f>
      </x:c>
    </x:row>
    <x:row r="317">
      <x:c r="D317" s="104"/>
      <x:c r="G317" s="100" t="str">
        <x:f>IF(A317="","",IF(COUNTIF($A$5:$A$404,A317)&gt;1,"DUPLICATE CLIENT",IF(COUNTIF(Clients!$A$5:$A$404,A317)=0,"CLIENT NOT FOUND",IF(B317="","CHOOSE PROFILE",IF(COUNTIF('Billing Profiles'!$A$5:$A$54,B317)=0,"PROFILE NOT FOUND",IF(OR(C317="",D317=""),"COMPLETE BILLING","OK"))))))</x:f>
      </x:c>
    </x:row>
    <x:row r="318">
      <x:c r="D318" s="104"/>
      <x:c r="G318" s="100" t="str">
        <x:f>IF(A318="","",IF(COUNTIF($A$5:$A$404,A318)&gt;1,"DUPLICATE CLIENT",IF(COUNTIF(Clients!$A$5:$A$404,A318)=0,"CLIENT NOT FOUND",IF(B318="","CHOOSE PROFILE",IF(COUNTIF('Billing Profiles'!$A$5:$A$54,B318)=0,"PROFILE NOT FOUND",IF(OR(C318="",D318=""),"COMPLETE BILLING","OK"))))))</x:f>
      </x:c>
    </x:row>
    <x:row r="319">
      <x:c r="D319" s="104"/>
      <x:c r="G319" s="100" t="str">
        <x:f>IF(A319="","",IF(COUNTIF($A$5:$A$404,A319)&gt;1,"DUPLICATE CLIENT",IF(COUNTIF(Clients!$A$5:$A$404,A319)=0,"CLIENT NOT FOUND",IF(B319="","CHOOSE PROFILE",IF(COUNTIF('Billing Profiles'!$A$5:$A$54,B319)=0,"PROFILE NOT FOUND",IF(OR(C319="",D319=""),"COMPLETE BILLING","OK"))))))</x:f>
      </x:c>
    </x:row>
    <x:row r="320">
      <x:c r="D320" s="104"/>
      <x:c r="G320" s="100" t="str">
        <x:f>IF(A320="","",IF(COUNTIF($A$5:$A$404,A320)&gt;1,"DUPLICATE CLIENT",IF(COUNTIF(Clients!$A$5:$A$404,A320)=0,"CLIENT NOT FOUND",IF(B320="","CHOOSE PROFILE",IF(COUNTIF('Billing Profiles'!$A$5:$A$54,B320)=0,"PROFILE NOT FOUND",IF(OR(C320="",D320=""),"COMPLETE BILLING","OK"))))))</x:f>
      </x:c>
    </x:row>
    <x:row r="321">
      <x:c r="D321" s="104"/>
      <x:c r="G321" s="100" t="str">
        <x:f>IF(A321="","",IF(COUNTIF($A$5:$A$404,A321)&gt;1,"DUPLICATE CLIENT",IF(COUNTIF(Clients!$A$5:$A$404,A321)=0,"CLIENT NOT FOUND",IF(B321="","CHOOSE PROFILE",IF(COUNTIF('Billing Profiles'!$A$5:$A$54,B321)=0,"PROFILE NOT FOUND",IF(OR(C321="",D321=""),"COMPLETE BILLING","OK"))))))</x:f>
      </x:c>
    </x:row>
    <x:row r="322">
      <x:c r="D322" s="104"/>
      <x:c r="G322" s="100" t="str">
        <x:f>IF(A322="","",IF(COUNTIF($A$5:$A$404,A322)&gt;1,"DUPLICATE CLIENT",IF(COUNTIF(Clients!$A$5:$A$404,A322)=0,"CLIENT NOT FOUND",IF(B322="","CHOOSE PROFILE",IF(COUNTIF('Billing Profiles'!$A$5:$A$54,B322)=0,"PROFILE NOT FOUND",IF(OR(C322="",D322=""),"COMPLETE BILLING","OK"))))))</x:f>
      </x:c>
    </x:row>
    <x:row r="323">
      <x:c r="D323" s="104"/>
      <x:c r="G323" s="100" t="str">
        <x:f>IF(A323="","",IF(COUNTIF($A$5:$A$404,A323)&gt;1,"DUPLICATE CLIENT",IF(COUNTIF(Clients!$A$5:$A$404,A323)=0,"CLIENT NOT FOUND",IF(B323="","CHOOSE PROFILE",IF(COUNTIF('Billing Profiles'!$A$5:$A$54,B323)=0,"PROFILE NOT FOUND",IF(OR(C323="",D323=""),"COMPLETE BILLING","OK"))))))</x:f>
      </x:c>
    </x:row>
    <x:row r="324">
      <x:c r="D324" s="104"/>
      <x:c r="G324" s="100" t="str">
        <x:f>IF(A324="","",IF(COUNTIF($A$5:$A$404,A324)&gt;1,"DUPLICATE CLIENT",IF(COUNTIF(Clients!$A$5:$A$404,A324)=0,"CLIENT NOT FOUND",IF(B324="","CHOOSE PROFILE",IF(COUNTIF('Billing Profiles'!$A$5:$A$54,B324)=0,"PROFILE NOT FOUND",IF(OR(C324="",D324=""),"COMPLETE BILLING","OK"))))))</x:f>
      </x:c>
    </x:row>
    <x:row r="325">
      <x:c r="D325" s="104"/>
      <x:c r="G325" s="100" t="str">
        <x:f>IF(A325="","",IF(COUNTIF($A$5:$A$404,A325)&gt;1,"DUPLICATE CLIENT",IF(COUNTIF(Clients!$A$5:$A$404,A325)=0,"CLIENT NOT FOUND",IF(B325="","CHOOSE PROFILE",IF(COUNTIF('Billing Profiles'!$A$5:$A$54,B325)=0,"PROFILE NOT FOUND",IF(OR(C325="",D325=""),"COMPLETE BILLING","OK"))))))</x:f>
      </x:c>
    </x:row>
    <x:row r="326">
      <x:c r="D326" s="104"/>
      <x:c r="G326" s="100" t="str">
        <x:f>IF(A326="","",IF(COUNTIF($A$5:$A$404,A326)&gt;1,"DUPLICATE CLIENT",IF(COUNTIF(Clients!$A$5:$A$404,A326)=0,"CLIENT NOT FOUND",IF(B326="","CHOOSE PROFILE",IF(COUNTIF('Billing Profiles'!$A$5:$A$54,B326)=0,"PROFILE NOT FOUND",IF(OR(C326="",D326=""),"COMPLETE BILLING","OK"))))))</x:f>
      </x:c>
    </x:row>
    <x:row r="327">
      <x:c r="D327" s="104"/>
      <x:c r="G327" s="100" t="str">
        <x:f>IF(A327="","",IF(COUNTIF($A$5:$A$404,A327)&gt;1,"DUPLICATE CLIENT",IF(COUNTIF(Clients!$A$5:$A$404,A327)=0,"CLIENT NOT FOUND",IF(B327="","CHOOSE PROFILE",IF(COUNTIF('Billing Profiles'!$A$5:$A$54,B327)=0,"PROFILE NOT FOUND",IF(OR(C327="",D327=""),"COMPLETE BILLING","OK"))))))</x:f>
      </x:c>
    </x:row>
    <x:row r="328">
      <x:c r="D328" s="104"/>
      <x:c r="G328" s="100" t="str">
        <x:f>IF(A328="","",IF(COUNTIF($A$5:$A$404,A328)&gt;1,"DUPLICATE CLIENT",IF(COUNTIF(Clients!$A$5:$A$404,A328)=0,"CLIENT NOT FOUND",IF(B328="","CHOOSE PROFILE",IF(COUNTIF('Billing Profiles'!$A$5:$A$54,B328)=0,"PROFILE NOT FOUND",IF(OR(C328="",D328=""),"COMPLETE BILLING","OK"))))))</x:f>
      </x:c>
    </x:row>
    <x:row r="329">
      <x:c r="D329" s="104"/>
      <x:c r="G329" s="100" t="str">
        <x:f>IF(A329="","",IF(COUNTIF($A$5:$A$404,A329)&gt;1,"DUPLICATE CLIENT",IF(COUNTIF(Clients!$A$5:$A$404,A329)=0,"CLIENT NOT FOUND",IF(B329="","CHOOSE PROFILE",IF(COUNTIF('Billing Profiles'!$A$5:$A$54,B329)=0,"PROFILE NOT FOUND",IF(OR(C329="",D329=""),"COMPLETE BILLING","OK"))))))</x:f>
      </x:c>
    </x:row>
    <x:row r="330">
      <x:c r="D330" s="104"/>
      <x:c r="G330" s="100" t="str">
        <x:f>IF(A330="","",IF(COUNTIF($A$5:$A$404,A330)&gt;1,"DUPLICATE CLIENT",IF(COUNTIF(Clients!$A$5:$A$404,A330)=0,"CLIENT NOT FOUND",IF(B330="","CHOOSE PROFILE",IF(COUNTIF('Billing Profiles'!$A$5:$A$54,B330)=0,"PROFILE NOT FOUND",IF(OR(C330="",D330=""),"COMPLETE BILLING","OK"))))))</x:f>
      </x:c>
    </x:row>
    <x:row r="331">
      <x:c r="D331" s="104"/>
      <x:c r="G331" s="100" t="str">
        <x:f>IF(A331="","",IF(COUNTIF($A$5:$A$404,A331)&gt;1,"DUPLICATE CLIENT",IF(COUNTIF(Clients!$A$5:$A$404,A331)=0,"CLIENT NOT FOUND",IF(B331="","CHOOSE PROFILE",IF(COUNTIF('Billing Profiles'!$A$5:$A$54,B331)=0,"PROFILE NOT FOUND",IF(OR(C331="",D331=""),"COMPLETE BILLING","OK"))))))</x:f>
      </x:c>
    </x:row>
    <x:row r="332">
      <x:c r="D332" s="104"/>
      <x:c r="G332" s="100" t="str">
        <x:f>IF(A332="","",IF(COUNTIF($A$5:$A$404,A332)&gt;1,"DUPLICATE CLIENT",IF(COUNTIF(Clients!$A$5:$A$404,A332)=0,"CLIENT NOT FOUND",IF(B332="","CHOOSE PROFILE",IF(COUNTIF('Billing Profiles'!$A$5:$A$54,B332)=0,"PROFILE NOT FOUND",IF(OR(C332="",D332=""),"COMPLETE BILLING","OK"))))))</x:f>
      </x:c>
    </x:row>
    <x:row r="333">
      <x:c r="D333" s="104"/>
      <x:c r="G333" s="100" t="str">
        <x:f>IF(A333="","",IF(COUNTIF($A$5:$A$404,A333)&gt;1,"DUPLICATE CLIENT",IF(COUNTIF(Clients!$A$5:$A$404,A333)=0,"CLIENT NOT FOUND",IF(B333="","CHOOSE PROFILE",IF(COUNTIF('Billing Profiles'!$A$5:$A$54,B333)=0,"PROFILE NOT FOUND",IF(OR(C333="",D333=""),"COMPLETE BILLING","OK"))))))</x:f>
      </x:c>
    </x:row>
    <x:row r="334">
      <x:c r="D334" s="104"/>
      <x:c r="G334" s="100" t="str">
        <x:f>IF(A334="","",IF(COUNTIF($A$5:$A$404,A334)&gt;1,"DUPLICATE CLIENT",IF(COUNTIF(Clients!$A$5:$A$404,A334)=0,"CLIENT NOT FOUND",IF(B334="","CHOOSE PROFILE",IF(COUNTIF('Billing Profiles'!$A$5:$A$54,B334)=0,"PROFILE NOT FOUND",IF(OR(C334="",D334=""),"COMPLETE BILLING","OK"))))))</x:f>
      </x:c>
    </x:row>
    <x:row r="335">
      <x:c r="D335" s="104"/>
      <x:c r="G335" s="100" t="str">
        <x:f>IF(A335="","",IF(COUNTIF($A$5:$A$404,A335)&gt;1,"DUPLICATE CLIENT",IF(COUNTIF(Clients!$A$5:$A$404,A335)=0,"CLIENT NOT FOUND",IF(B335="","CHOOSE PROFILE",IF(COUNTIF('Billing Profiles'!$A$5:$A$54,B335)=0,"PROFILE NOT FOUND",IF(OR(C335="",D335=""),"COMPLETE BILLING","OK"))))))</x:f>
      </x:c>
    </x:row>
    <x:row r="336">
      <x:c r="D336" s="104"/>
      <x:c r="G336" s="100" t="str">
        <x:f>IF(A336="","",IF(COUNTIF($A$5:$A$404,A336)&gt;1,"DUPLICATE CLIENT",IF(COUNTIF(Clients!$A$5:$A$404,A336)=0,"CLIENT NOT FOUND",IF(B336="","CHOOSE PROFILE",IF(COUNTIF('Billing Profiles'!$A$5:$A$54,B336)=0,"PROFILE NOT FOUND",IF(OR(C336="",D336=""),"COMPLETE BILLING","OK"))))))</x:f>
      </x:c>
    </x:row>
    <x:row r="337">
      <x:c r="D337" s="104"/>
      <x:c r="G337" s="100" t="str">
        <x:f>IF(A337="","",IF(COUNTIF($A$5:$A$404,A337)&gt;1,"DUPLICATE CLIENT",IF(COUNTIF(Clients!$A$5:$A$404,A337)=0,"CLIENT NOT FOUND",IF(B337="","CHOOSE PROFILE",IF(COUNTIF('Billing Profiles'!$A$5:$A$54,B337)=0,"PROFILE NOT FOUND",IF(OR(C337="",D337=""),"COMPLETE BILLING","OK"))))))</x:f>
      </x:c>
    </x:row>
    <x:row r="338">
      <x:c r="D338" s="104"/>
      <x:c r="G338" s="100" t="str">
        <x:f>IF(A338="","",IF(COUNTIF($A$5:$A$404,A338)&gt;1,"DUPLICATE CLIENT",IF(COUNTIF(Clients!$A$5:$A$404,A338)=0,"CLIENT NOT FOUND",IF(B338="","CHOOSE PROFILE",IF(COUNTIF('Billing Profiles'!$A$5:$A$54,B338)=0,"PROFILE NOT FOUND",IF(OR(C338="",D338=""),"COMPLETE BILLING","OK"))))))</x:f>
      </x:c>
    </x:row>
    <x:row r="339">
      <x:c r="D339" s="104"/>
      <x:c r="G339" s="100" t="str">
        <x:f>IF(A339="","",IF(COUNTIF($A$5:$A$404,A339)&gt;1,"DUPLICATE CLIENT",IF(COUNTIF(Clients!$A$5:$A$404,A339)=0,"CLIENT NOT FOUND",IF(B339="","CHOOSE PROFILE",IF(COUNTIF('Billing Profiles'!$A$5:$A$54,B339)=0,"PROFILE NOT FOUND",IF(OR(C339="",D339=""),"COMPLETE BILLING","OK"))))))</x:f>
      </x:c>
    </x:row>
    <x:row r="340">
      <x:c r="D340" s="104"/>
      <x:c r="G340" s="100" t="str">
        <x:f>IF(A340="","",IF(COUNTIF($A$5:$A$404,A340)&gt;1,"DUPLICATE CLIENT",IF(COUNTIF(Clients!$A$5:$A$404,A340)=0,"CLIENT NOT FOUND",IF(B340="","CHOOSE PROFILE",IF(COUNTIF('Billing Profiles'!$A$5:$A$54,B340)=0,"PROFILE NOT FOUND",IF(OR(C340="",D340=""),"COMPLETE BILLING","OK"))))))</x:f>
      </x:c>
    </x:row>
    <x:row r="341">
      <x:c r="D341" s="104"/>
      <x:c r="G341" s="100" t="str">
        <x:f>IF(A341="","",IF(COUNTIF($A$5:$A$404,A341)&gt;1,"DUPLICATE CLIENT",IF(COUNTIF(Clients!$A$5:$A$404,A341)=0,"CLIENT NOT FOUND",IF(B341="","CHOOSE PROFILE",IF(COUNTIF('Billing Profiles'!$A$5:$A$54,B341)=0,"PROFILE NOT FOUND",IF(OR(C341="",D341=""),"COMPLETE BILLING","OK"))))))</x:f>
      </x:c>
    </x:row>
    <x:row r="342">
      <x:c r="D342" s="104"/>
      <x:c r="G342" s="100" t="str">
        <x:f>IF(A342="","",IF(COUNTIF($A$5:$A$404,A342)&gt;1,"DUPLICATE CLIENT",IF(COUNTIF(Clients!$A$5:$A$404,A342)=0,"CLIENT NOT FOUND",IF(B342="","CHOOSE PROFILE",IF(COUNTIF('Billing Profiles'!$A$5:$A$54,B342)=0,"PROFILE NOT FOUND",IF(OR(C342="",D342=""),"COMPLETE BILLING","OK"))))))</x:f>
      </x:c>
    </x:row>
    <x:row r="343">
      <x:c r="D343" s="104"/>
      <x:c r="G343" s="100" t="str">
        <x:f>IF(A343="","",IF(COUNTIF($A$5:$A$404,A343)&gt;1,"DUPLICATE CLIENT",IF(COUNTIF(Clients!$A$5:$A$404,A343)=0,"CLIENT NOT FOUND",IF(B343="","CHOOSE PROFILE",IF(COUNTIF('Billing Profiles'!$A$5:$A$54,B343)=0,"PROFILE NOT FOUND",IF(OR(C343="",D343=""),"COMPLETE BILLING","OK"))))))</x:f>
      </x:c>
    </x:row>
    <x:row r="344">
      <x:c r="D344" s="104"/>
      <x:c r="G344" s="100" t="str">
        <x:f>IF(A344="","",IF(COUNTIF($A$5:$A$404,A344)&gt;1,"DUPLICATE CLIENT",IF(COUNTIF(Clients!$A$5:$A$404,A344)=0,"CLIENT NOT FOUND",IF(B344="","CHOOSE PROFILE",IF(COUNTIF('Billing Profiles'!$A$5:$A$54,B344)=0,"PROFILE NOT FOUND",IF(OR(C344="",D344=""),"COMPLETE BILLING","OK"))))))</x:f>
      </x:c>
    </x:row>
    <x:row r="345">
      <x:c r="D345" s="104"/>
      <x:c r="G345" s="100" t="str">
        <x:f>IF(A345="","",IF(COUNTIF($A$5:$A$404,A345)&gt;1,"DUPLICATE CLIENT",IF(COUNTIF(Clients!$A$5:$A$404,A345)=0,"CLIENT NOT FOUND",IF(B345="","CHOOSE PROFILE",IF(COUNTIF('Billing Profiles'!$A$5:$A$54,B345)=0,"PROFILE NOT FOUND",IF(OR(C345="",D345=""),"COMPLETE BILLING","OK"))))))</x:f>
      </x:c>
    </x:row>
    <x:row r="346">
      <x:c r="D346" s="104"/>
      <x:c r="G346" s="100" t="str">
        <x:f>IF(A346="","",IF(COUNTIF($A$5:$A$404,A346)&gt;1,"DUPLICATE CLIENT",IF(COUNTIF(Clients!$A$5:$A$404,A346)=0,"CLIENT NOT FOUND",IF(B346="","CHOOSE PROFILE",IF(COUNTIF('Billing Profiles'!$A$5:$A$54,B346)=0,"PROFILE NOT FOUND",IF(OR(C346="",D346=""),"COMPLETE BILLING","OK"))))))</x:f>
      </x:c>
    </x:row>
    <x:row r="347">
      <x:c r="D347" s="104"/>
      <x:c r="G347" s="100" t="str">
        <x:f>IF(A347="","",IF(COUNTIF($A$5:$A$404,A347)&gt;1,"DUPLICATE CLIENT",IF(COUNTIF(Clients!$A$5:$A$404,A347)=0,"CLIENT NOT FOUND",IF(B347="","CHOOSE PROFILE",IF(COUNTIF('Billing Profiles'!$A$5:$A$54,B347)=0,"PROFILE NOT FOUND",IF(OR(C347="",D347=""),"COMPLETE BILLING","OK"))))))</x:f>
      </x:c>
    </x:row>
    <x:row r="348">
      <x:c r="D348" s="104"/>
      <x:c r="G348" s="100" t="str">
        <x:f>IF(A348="","",IF(COUNTIF($A$5:$A$404,A348)&gt;1,"DUPLICATE CLIENT",IF(COUNTIF(Clients!$A$5:$A$404,A348)=0,"CLIENT NOT FOUND",IF(B348="","CHOOSE PROFILE",IF(COUNTIF('Billing Profiles'!$A$5:$A$54,B348)=0,"PROFILE NOT FOUND",IF(OR(C348="",D348=""),"COMPLETE BILLING","OK"))))))</x:f>
      </x:c>
    </x:row>
    <x:row r="349">
      <x:c r="D349" s="104"/>
      <x:c r="G349" s="100" t="str">
        <x:f>IF(A349="","",IF(COUNTIF($A$5:$A$404,A349)&gt;1,"DUPLICATE CLIENT",IF(COUNTIF(Clients!$A$5:$A$404,A349)=0,"CLIENT NOT FOUND",IF(B349="","CHOOSE PROFILE",IF(COUNTIF('Billing Profiles'!$A$5:$A$54,B349)=0,"PROFILE NOT FOUND",IF(OR(C349="",D349=""),"COMPLETE BILLING","OK"))))))</x:f>
      </x:c>
    </x:row>
    <x:row r="350">
      <x:c r="D350" s="104"/>
      <x:c r="G350" s="100" t="str">
        <x:f>IF(A350="","",IF(COUNTIF($A$5:$A$404,A350)&gt;1,"DUPLICATE CLIENT",IF(COUNTIF(Clients!$A$5:$A$404,A350)=0,"CLIENT NOT FOUND",IF(B350="","CHOOSE PROFILE",IF(COUNTIF('Billing Profiles'!$A$5:$A$54,B350)=0,"PROFILE NOT FOUND",IF(OR(C350="",D350=""),"COMPLETE BILLING","OK"))))))</x:f>
      </x:c>
    </x:row>
    <x:row r="351">
      <x:c r="D351" s="104"/>
      <x:c r="G351" s="100" t="str">
        <x:f>IF(A351="","",IF(COUNTIF($A$5:$A$404,A351)&gt;1,"DUPLICATE CLIENT",IF(COUNTIF(Clients!$A$5:$A$404,A351)=0,"CLIENT NOT FOUND",IF(B351="","CHOOSE PROFILE",IF(COUNTIF('Billing Profiles'!$A$5:$A$54,B351)=0,"PROFILE NOT FOUND",IF(OR(C351="",D351=""),"COMPLETE BILLING","OK"))))))</x:f>
      </x:c>
    </x:row>
    <x:row r="352">
      <x:c r="D352" s="104"/>
      <x:c r="G352" s="100" t="str">
        <x:f>IF(A352="","",IF(COUNTIF($A$5:$A$404,A352)&gt;1,"DUPLICATE CLIENT",IF(COUNTIF(Clients!$A$5:$A$404,A352)=0,"CLIENT NOT FOUND",IF(B352="","CHOOSE PROFILE",IF(COUNTIF('Billing Profiles'!$A$5:$A$54,B352)=0,"PROFILE NOT FOUND",IF(OR(C352="",D352=""),"COMPLETE BILLING","OK"))))))</x:f>
      </x:c>
    </x:row>
    <x:row r="353">
      <x:c r="D353" s="104"/>
      <x:c r="G353" s="100" t="str">
        <x:f>IF(A353="","",IF(COUNTIF($A$5:$A$404,A353)&gt;1,"DUPLICATE CLIENT",IF(COUNTIF(Clients!$A$5:$A$404,A353)=0,"CLIENT NOT FOUND",IF(B353="","CHOOSE PROFILE",IF(COUNTIF('Billing Profiles'!$A$5:$A$54,B353)=0,"PROFILE NOT FOUND",IF(OR(C353="",D353=""),"COMPLETE BILLING","OK"))))))</x:f>
      </x:c>
    </x:row>
    <x:row r="354">
      <x:c r="D354" s="104"/>
      <x:c r="G354" s="100" t="str">
        <x:f>IF(A354="","",IF(COUNTIF($A$5:$A$404,A354)&gt;1,"DUPLICATE CLIENT",IF(COUNTIF(Clients!$A$5:$A$404,A354)=0,"CLIENT NOT FOUND",IF(B354="","CHOOSE PROFILE",IF(COUNTIF('Billing Profiles'!$A$5:$A$54,B354)=0,"PROFILE NOT FOUND",IF(OR(C354="",D354=""),"COMPLETE BILLING","OK"))))))</x:f>
      </x:c>
    </x:row>
    <x:row r="355">
      <x:c r="D355" s="104"/>
      <x:c r="G355" s="100" t="str">
        <x:f>IF(A355="","",IF(COUNTIF($A$5:$A$404,A355)&gt;1,"DUPLICATE CLIENT",IF(COUNTIF(Clients!$A$5:$A$404,A355)=0,"CLIENT NOT FOUND",IF(B355="","CHOOSE PROFILE",IF(COUNTIF('Billing Profiles'!$A$5:$A$54,B355)=0,"PROFILE NOT FOUND",IF(OR(C355="",D355=""),"COMPLETE BILLING","OK"))))))</x:f>
      </x:c>
    </x:row>
    <x:row r="356">
      <x:c r="D356" s="104"/>
      <x:c r="G356" s="100" t="str">
        <x:f>IF(A356="","",IF(COUNTIF($A$5:$A$404,A356)&gt;1,"DUPLICATE CLIENT",IF(COUNTIF(Clients!$A$5:$A$404,A356)=0,"CLIENT NOT FOUND",IF(B356="","CHOOSE PROFILE",IF(COUNTIF('Billing Profiles'!$A$5:$A$54,B356)=0,"PROFILE NOT FOUND",IF(OR(C356="",D356=""),"COMPLETE BILLING","OK"))))))</x:f>
      </x:c>
    </x:row>
    <x:row r="357">
      <x:c r="D357" s="104"/>
      <x:c r="G357" s="100" t="str">
        <x:f>IF(A357="","",IF(COUNTIF($A$5:$A$404,A357)&gt;1,"DUPLICATE CLIENT",IF(COUNTIF(Clients!$A$5:$A$404,A357)=0,"CLIENT NOT FOUND",IF(B357="","CHOOSE PROFILE",IF(COUNTIF('Billing Profiles'!$A$5:$A$54,B357)=0,"PROFILE NOT FOUND",IF(OR(C357="",D357=""),"COMPLETE BILLING","OK"))))))</x:f>
      </x:c>
    </x:row>
    <x:row r="358">
      <x:c r="D358" s="104"/>
      <x:c r="G358" s="100" t="str">
        <x:f>IF(A358="","",IF(COUNTIF($A$5:$A$404,A358)&gt;1,"DUPLICATE CLIENT",IF(COUNTIF(Clients!$A$5:$A$404,A358)=0,"CLIENT NOT FOUND",IF(B358="","CHOOSE PROFILE",IF(COUNTIF('Billing Profiles'!$A$5:$A$54,B358)=0,"PROFILE NOT FOUND",IF(OR(C358="",D358=""),"COMPLETE BILLING","OK"))))))</x:f>
      </x:c>
    </x:row>
    <x:row r="359">
      <x:c r="D359" s="104"/>
      <x:c r="G359" s="100" t="str">
        <x:f>IF(A359="","",IF(COUNTIF($A$5:$A$404,A359)&gt;1,"DUPLICATE CLIENT",IF(COUNTIF(Clients!$A$5:$A$404,A359)=0,"CLIENT NOT FOUND",IF(B359="","CHOOSE PROFILE",IF(COUNTIF('Billing Profiles'!$A$5:$A$54,B359)=0,"PROFILE NOT FOUND",IF(OR(C359="",D359=""),"COMPLETE BILLING","OK"))))))</x:f>
      </x:c>
    </x:row>
    <x:row r="360">
      <x:c r="D360" s="104"/>
      <x:c r="G360" s="100" t="str">
        <x:f>IF(A360="","",IF(COUNTIF($A$5:$A$404,A360)&gt;1,"DUPLICATE CLIENT",IF(COUNTIF(Clients!$A$5:$A$404,A360)=0,"CLIENT NOT FOUND",IF(B360="","CHOOSE PROFILE",IF(COUNTIF('Billing Profiles'!$A$5:$A$54,B360)=0,"PROFILE NOT FOUND",IF(OR(C360="",D360=""),"COMPLETE BILLING","OK"))))))</x:f>
      </x:c>
    </x:row>
    <x:row r="361">
      <x:c r="D361" s="104"/>
      <x:c r="G361" s="100" t="str">
        <x:f>IF(A361="","",IF(COUNTIF($A$5:$A$404,A361)&gt;1,"DUPLICATE CLIENT",IF(COUNTIF(Clients!$A$5:$A$404,A361)=0,"CLIENT NOT FOUND",IF(B361="","CHOOSE PROFILE",IF(COUNTIF('Billing Profiles'!$A$5:$A$54,B361)=0,"PROFILE NOT FOUND",IF(OR(C361="",D361=""),"COMPLETE BILLING","OK"))))))</x:f>
      </x:c>
    </x:row>
    <x:row r="362">
      <x:c r="D362" s="104"/>
      <x:c r="G362" s="100" t="str">
        <x:f>IF(A362="","",IF(COUNTIF($A$5:$A$404,A362)&gt;1,"DUPLICATE CLIENT",IF(COUNTIF(Clients!$A$5:$A$404,A362)=0,"CLIENT NOT FOUND",IF(B362="","CHOOSE PROFILE",IF(COUNTIF('Billing Profiles'!$A$5:$A$54,B362)=0,"PROFILE NOT FOUND",IF(OR(C362="",D362=""),"COMPLETE BILLING","OK"))))))</x:f>
      </x:c>
    </x:row>
    <x:row r="363">
      <x:c r="D363" s="104"/>
      <x:c r="G363" s="100" t="str">
        <x:f>IF(A363="","",IF(COUNTIF($A$5:$A$404,A363)&gt;1,"DUPLICATE CLIENT",IF(COUNTIF(Clients!$A$5:$A$404,A363)=0,"CLIENT NOT FOUND",IF(B363="","CHOOSE PROFILE",IF(COUNTIF('Billing Profiles'!$A$5:$A$54,B363)=0,"PROFILE NOT FOUND",IF(OR(C363="",D363=""),"COMPLETE BILLING","OK"))))))</x:f>
      </x:c>
    </x:row>
    <x:row r="364">
      <x:c r="D364" s="104"/>
      <x:c r="G364" s="100" t="str">
        <x:f>IF(A364="","",IF(COUNTIF($A$5:$A$404,A364)&gt;1,"DUPLICATE CLIENT",IF(COUNTIF(Clients!$A$5:$A$404,A364)=0,"CLIENT NOT FOUND",IF(B364="","CHOOSE PROFILE",IF(COUNTIF('Billing Profiles'!$A$5:$A$54,B364)=0,"PROFILE NOT FOUND",IF(OR(C364="",D364=""),"COMPLETE BILLING","OK"))))))</x:f>
      </x:c>
    </x:row>
    <x:row r="365">
      <x:c r="D365" s="104"/>
      <x:c r="G365" s="100" t="str">
        <x:f>IF(A365="","",IF(COUNTIF($A$5:$A$404,A365)&gt;1,"DUPLICATE CLIENT",IF(COUNTIF(Clients!$A$5:$A$404,A365)=0,"CLIENT NOT FOUND",IF(B365="","CHOOSE PROFILE",IF(COUNTIF('Billing Profiles'!$A$5:$A$54,B365)=0,"PROFILE NOT FOUND",IF(OR(C365="",D365=""),"COMPLETE BILLING","OK"))))))</x:f>
      </x:c>
    </x:row>
    <x:row r="366">
      <x:c r="D366" s="104"/>
      <x:c r="G366" s="100" t="str">
        <x:f>IF(A366="","",IF(COUNTIF($A$5:$A$404,A366)&gt;1,"DUPLICATE CLIENT",IF(COUNTIF(Clients!$A$5:$A$404,A366)=0,"CLIENT NOT FOUND",IF(B366="","CHOOSE PROFILE",IF(COUNTIF('Billing Profiles'!$A$5:$A$54,B366)=0,"PROFILE NOT FOUND",IF(OR(C366="",D366=""),"COMPLETE BILLING","OK"))))))</x:f>
      </x:c>
    </x:row>
    <x:row r="367">
      <x:c r="D367" s="104"/>
      <x:c r="G367" s="100" t="str">
        <x:f>IF(A367="","",IF(COUNTIF($A$5:$A$404,A367)&gt;1,"DUPLICATE CLIENT",IF(COUNTIF(Clients!$A$5:$A$404,A367)=0,"CLIENT NOT FOUND",IF(B367="","CHOOSE PROFILE",IF(COUNTIF('Billing Profiles'!$A$5:$A$54,B367)=0,"PROFILE NOT FOUND",IF(OR(C367="",D367=""),"COMPLETE BILLING","OK"))))))</x:f>
      </x:c>
    </x:row>
    <x:row r="368">
      <x:c r="D368" s="104"/>
      <x:c r="G368" s="100" t="str">
        <x:f>IF(A368="","",IF(COUNTIF($A$5:$A$404,A368)&gt;1,"DUPLICATE CLIENT",IF(COUNTIF(Clients!$A$5:$A$404,A368)=0,"CLIENT NOT FOUND",IF(B368="","CHOOSE PROFILE",IF(COUNTIF('Billing Profiles'!$A$5:$A$54,B368)=0,"PROFILE NOT FOUND",IF(OR(C368="",D368=""),"COMPLETE BILLING","OK"))))))</x:f>
      </x:c>
    </x:row>
    <x:row r="369">
      <x:c r="D369" s="104"/>
      <x:c r="G369" s="100" t="str">
        <x:f>IF(A369="","",IF(COUNTIF($A$5:$A$404,A369)&gt;1,"DUPLICATE CLIENT",IF(COUNTIF(Clients!$A$5:$A$404,A369)=0,"CLIENT NOT FOUND",IF(B369="","CHOOSE PROFILE",IF(COUNTIF('Billing Profiles'!$A$5:$A$54,B369)=0,"PROFILE NOT FOUND",IF(OR(C369="",D369=""),"COMPLETE BILLING","OK"))))))</x:f>
      </x:c>
    </x:row>
    <x:row r="370">
      <x:c r="D370" s="104"/>
      <x:c r="G370" s="100" t="str">
        <x:f>IF(A370="","",IF(COUNTIF($A$5:$A$404,A370)&gt;1,"DUPLICATE CLIENT",IF(COUNTIF(Clients!$A$5:$A$404,A370)=0,"CLIENT NOT FOUND",IF(B370="","CHOOSE PROFILE",IF(COUNTIF('Billing Profiles'!$A$5:$A$54,B370)=0,"PROFILE NOT FOUND",IF(OR(C370="",D370=""),"COMPLETE BILLING","OK"))))))</x:f>
      </x:c>
    </x:row>
    <x:row r="371">
      <x:c r="D371" s="104"/>
      <x:c r="G371" s="100" t="str">
        <x:f>IF(A371="","",IF(COUNTIF($A$5:$A$404,A371)&gt;1,"DUPLICATE CLIENT",IF(COUNTIF(Clients!$A$5:$A$404,A371)=0,"CLIENT NOT FOUND",IF(B371="","CHOOSE PROFILE",IF(COUNTIF('Billing Profiles'!$A$5:$A$54,B371)=0,"PROFILE NOT FOUND",IF(OR(C371="",D371=""),"COMPLETE BILLING","OK"))))))</x:f>
      </x:c>
    </x:row>
    <x:row r="372">
      <x:c r="D372" s="104"/>
      <x:c r="G372" s="100" t="str">
        <x:f>IF(A372="","",IF(COUNTIF($A$5:$A$404,A372)&gt;1,"DUPLICATE CLIENT",IF(COUNTIF(Clients!$A$5:$A$404,A372)=0,"CLIENT NOT FOUND",IF(B372="","CHOOSE PROFILE",IF(COUNTIF('Billing Profiles'!$A$5:$A$54,B372)=0,"PROFILE NOT FOUND",IF(OR(C372="",D372=""),"COMPLETE BILLING","OK"))))))</x:f>
      </x:c>
    </x:row>
    <x:row r="373">
      <x:c r="D373" s="104"/>
      <x:c r="G373" s="100" t="str">
        <x:f>IF(A373="","",IF(COUNTIF($A$5:$A$404,A373)&gt;1,"DUPLICATE CLIENT",IF(COUNTIF(Clients!$A$5:$A$404,A373)=0,"CLIENT NOT FOUND",IF(B373="","CHOOSE PROFILE",IF(COUNTIF('Billing Profiles'!$A$5:$A$54,B373)=0,"PROFILE NOT FOUND",IF(OR(C373="",D373=""),"COMPLETE BILLING","OK"))))))</x:f>
      </x:c>
    </x:row>
    <x:row r="374">
      <x:c r="D374" s="104"/>
      <x:c r="G374" s="100" t="str">
        <x:f>IF(A374="","",IF(COUNTIF($A$5:$A$404,A374)&gt;1,"DUPLICATE CLIENT",IF(COUNTIF(Clients!$A$5:$A$404,A374)=0,"CLIENT NOT FOUND",IF(B374="","CHOOSE PROFILE",IF(COUNTIF('Billing Profiles'!$A$5:$A$54,B374)=0,"PROFILE NOT FOUND",IF(OR(C374="",D374=""),"COMPLETE BILLING","OK"))))))</x:f>
      </x:c>
    </x:row>
    <x:row r="375">
      <x:c r="D375" s="104"/>
      <x:c r="G375" s="100" t="str">
        <x:f>IF(A375="","",IF(COUNTIF($A$5:$A$404,A375)&gt;1,"DUPLICATE CLIENT",IF(COUNTIF(Clients!$A$5:$A$404,A375)=0,"CLIENT NOT FOUND",IF(B375="","CHOOSE PROFILE",IF(COUNTIF('Billing Profiles'!$A$5:$A$54,B375)=0,"PROFILE NOT FOUND",IF(OR(C375="",D375=""),"COMPLETE BILLING","OK"))))))</x:f>
      </x:c>
    </x:row>
    <x:row r="376">
      <x:c r="D376" s="104"/>
      <x:c r="G376" s="100" t="str">
        <x:f>IF(A376="","",IF(COUNTIF($A$5:$A$404,A376)&gt;1,"DUPLICATE CLIENT",IF(COUNTIF(Clients!$A$5:$A$404,A376)=0,"CLIENT NOT FOUND",IF(B376="","CHOOSE PROFILE",IF(COUNTIF('Billing Profiles'!$A$5:$A$54,B376)=0,"PROFILE NOT FOUND",IF(OR(C376="",D376=""),"COMPLETE BILLING","OK"))))))</x:f>
      </x:c>
    </x:row>
    <x:row r="377">
      <x:c r="D377" s="104"/>
      <x:c r="G377" s="100" t="str">
        <x:f>IF(A377="","",IF(COUNTIF($A$5:$A$404,A377)&gt;1,"DUPLICATE CLIENT",IF(COUNTIF(Clients!$A$5:$A$404,A377)=0,"CLIENT NOT FOUND",IF(B377="","CHOOSE PROFILE",IF(COUNTIF('Billing Profiles'!$A$5:$A$54,B377)=0,"PROFILE NOT FOUND",IF(OR(C377="",D377=""),"COMPLETE BILLING","OK"))))))</x:f>
      </x:c>
    </x:row>
    <x:row r="378">
      <x:c r="D378" s="104"/>
      <x:c r="G378" s="100" t="str">
        <x:f>IF(A378="","",IF(COUNTIF($A$5:$A$404,A378)&gt;1,"DUPLICATE CLIENT",IF(COUNTIF(Clients!$A$5:$A$404,A378)=0,"CLIENT NOT FOUND",IF(B378="","CHOOSE PROFILE",IF(COUNTIF('Billing Profiles'!$A$5:$A$54,B378)=0,"PROFILE NOT FOUND",IF(OR(C378="",D378=""),"COMPLETE BILLING","OK"))))))</x:f>
      </x:c>
    </x:row>
    <x:row r="379">
      <x:c r="D379" s="104"/>
      <x:c r="G379" s="100" t="str">
        <x:f>IF(A379="","",IF(COUNTIF($A$5:$A$404,A379)&gt;1,"DUPLICATE CLIENT",IF(COUNTIF(Clients!$A$5:$A$404,A379)=0,"CLIENT NOT FOUND",IF(B379="","CHOOSE PROFILE",IF(COUNTIF('Billing Profiles'!$A$5:$A$54,B379)=0,"PROFILE NOT FOUND",IF(OR(C379="",D379=""),"COMPLETE BILLING","OK"))))))</x:f>
      </x:c>
    </x:row>
    <x:row r="380">
      <x:c r="D380" s="104"/>
      <x:c r="G380" s="100" t="str">
        <x:f>IF(A380="","",IF(COUNTIF($A$5:$A$404,A380)&gt;1,"DUPLICATE CLIENT",IF(COUNTIF(Clients!$A$5:$A$404,A380)=0,"CLIENT NOT FOUND",IF(B380="","CHOOSE PROFILE",IF(COUNTIF('Billing Profiles'!$A$5:$A$54,B380)=0,"PROFILE NOT FOUND",IF(OR(C380="",D380=""),"COMPLETE BILLING","OK"))))))</x:f>
      </x:c>
    </x:row>
    <x:row r="381">
      <x:c r="D381" s="104"/>
      <x:c r="G381" s="100" t="str">
        <x:f>IF(A381="","",IF(COUNTIF($A$5:$A$404,A381)&gt;1,"DUPLICATE CLIENT",IF(COUNTIF(Clients!$A$5:$A$404,A381)=0,"CLIENT NOT FOUND",IF(B381="","CHOOSE PROFILE",IF(COUNTIF('Billing Profiles'!$A$5:$A$54,B381)=0,"PROFILE NOT FOUND",IF(OR(C381="",D381=""),"COMPLETE BILLING","OK"))))))</x:f>
      </x:c>
    </x:row>
    <x:row r="382">
      <x:c r="D382" s="104"/>
      <x:c r="G382" s="100" t="str">
        <x:f>IF(A382="","",IF(COUNTIF($A$5:$A$404,A382)&gt;1,"DUPLICATE CLIENT",IF(COUNTIF(Clients!$A$5:$A$404,A382)=0,"CLIENT NOT FOUND",IF(B382="","CHOOSE PROFILE",IF(COUNTIF('Billing Profiles'!$A$5:$A$54,B382)=0,"PROFILE NOT FOUND",IF(OR(C382="",D382=""),"COMPLETE BILLING","OK"))))))</x:f>
      </x:c>
    </x:row>
    <x:row r="383">
      <x:c r="D383" s="104"/>
      <x:c r="G383" s="100" t="str">
        <x:f>IF(A383="","",IF(COUNTIF($A$5:$A$404,A383)&gt;1,"DUPLICATE CLIENT",IF(COUNTIF(Clients!$A$5:$A$404,A383)=0,"CLIENT NOT FOUND",IF(B383="","CHOOSE PROFILE",IF(COUNTIF('Billing Profiles'!$A$5:$A$54,B383)=0,"PROFILE NOT FOUND",IF(OR(C383="",D383=""),"COMPLETE BILLING","OK"))))))</x:f>
      </x:c>
    </x:row>
    <x:row r="384">
      <x:c r="D384" s="104"/>
      <x:c r="G384" s="100" t="str">
        <x:f>IF(A384="","",IF(COUNTIF($A$5:$A$404,A384)&gt;1,"DUPLICATE CLIENT",IF(COUNTIF(Clients!$A$5:$A$404,A384)=0,"CLIENT NOT FOUND",IF(B384="","CHOOSE PROFILE",IF(COUNTIF('Billing Profiles'!$A$5:$A$54,B384)=0,"PROFILE NOT FOUND",IF(OR(C384="",D384=""),"COMPLETE BILLING","OK"))))))</x:f>
      </x:c>
    </x:row>
    <x:row r="385">
      <x:c r="D385" s="104"/>
      <x:c r="G385" s="100" t="str">
        <x:f>IF(A385="","",IF(COUNTIF($A$5:$A$404,A385)&gt;1,"DUPLICATE CLIENT",IF(COUNTIF(Clients!$A$5:$A$404,A385)=0,"CLIENT NOT FOUND",IF(B385="","CHOOSE PROFILE",IF(COUNTIF('Billing Profiles'!$A$5:$A$54,B385)=0,"PROFILE NOT FOUND",IF(OR(C385="",D385=""),"COMPLETE BILLING","OK"))))))</x:f>
      </x:c>
    </x:row>
    <x:row r="386">
      <x:c r="D386" s="104"/>
      <x:c r="G386" s="100" t="str">
        <x:f>IF(A386="","",IF(COUNTIF($A$5:$A$404,A386)&gt;1,"DUPLICATE CLIENT",IF(COUNTIF(Clients!$A$5:$A$404,A386)=0,"CLIENT NOT FOUND",IF(B386="","CHOOSE PROFILE",IF(COUNTIF('Billing Profiles'!$A$5:$A$54,B386)=0,"PROFILE NOT FOUND",IF(OR(C386="",D386=""),"COMPLETE BILLING","OK"))))))</x:f>
      </x:c>
    </x:row>
    <x:row r="387">
      <x:c r="D387" s="104"/>
      <x:c r="G387" s="100" t="str">
        <x:f>IF(A387="","",IF(COUNTIF($A$5:$A$404,A387)&gt;1,"DUPLICATE CLIENT",IF(COUNTIF(Clients!$A$5:$A$404,A387)=0,"CLIENT NOT FOUND",IF(B387="","CHOOSE PROFILE",IF(COUNTIF('Billing Profiles'!$A$5:$A$54,B387)=0,"PROFILE NOT FOUND",IF(OR(C387="",D387=""),"COMPLETE BILLING","OK"))))))</x:f>
      </x:c>
    </x:row>
    <x:row r="388">
      <x:c r="D388" s="104"/>
      <x:c r="G388" s="100" t="str">
        <x:f>IF(A388="","",IF(COUNTIF($A$5:$A$404,A388)&gt;1,"DUPLICATE CLIENT",IF(COUNTIF(Clients!$A$5:$A$404,A388)=0,"CLIENT NOT FOUND",IF(B388="","CHOOSE PROFILE",IF(COUNTIF('Billing Profiles'!$A$5:$A$54,B388)=0,"PROFILE NOT FOUND",IF(OR(C388="",D388=""),"COMPLETE BILLING","OK"))))))</x:f>
      </x:c>
    </x:row>
    <x:row r="389">
      <x:c r="D389" s="104"/>
      <x:c r="G389" s="100" t="str">
        <x:f>IF(A389="","",IF(COUNTIF($A$5:$A$404,A389)&gt;1,"DUPLICATE CLIENT",IF(COUNTIF(Clients!$A$5:$A$404,A389)=0,"CLIENT NOT FOUND",IF(B389="","CHOOSE PROFILE",IF(COUNTIF('Billing Profiles'!$A$5:$A$54,B389)=0,"PROFILE NOT FOUND",IF(OR(C389="",D389=""),"COMPLETE BILLING","OK"))))))</x:f>
      </x:c>
    </x:row>
    <x:row r="390">
      <x:c r="D390" s="104"/>
      <x:c r="G390" s="100" t="str">
        <x:f>IF(A390="","",IF(COUNTIF($A$5:$A$404,A390)&gt;1,"DUPLICATE CLIENT",IF(COUNTIF(Clients!$A$5:$A$404,A390)=0,"CLIENT NOT FOUND",IF(B390="","CHOOSE PROFILE",IF(COUNTIF('Billing Profiles'!$A$5:$A$54,B390)=0,"PROFILE NOT FOUND",IF(OR(C390="",D390=""),"COMPLETE BILLING","OK"))))))</x:f>
      </x:c>
    </x:row>
    <x:row r="391">
      <x:c r="D391" s="104"/>
      <x:c r="G391" s="100" t="str">
        <x:f>IF(A391="","",IF(COUNTIF($A$5:$A$404,A391)&gt;1,"DUPLICATE CLIENT",IF(COUNTIF(Clients!$A$5:$A$404,A391)=0,"CLIENT NOT FOUND",IF(B391="","CHOOSE PROFILE",IF(COUNTIF('Billing Profiles'!$A$5:$A$54,B391)=0,"PROFILE NOT FOUND",IF(OR(C391="",D391=""),"COMPLETE BILLING","OK"))))))</x:f>
      </x:c>
    </x:row>
    <x:row r="392">
      <x:c r="D392" s="104"/>
      <x:c r="G392" s="100" t="str">
        <x:f>IF(A392="","",IF(COUNTIF($A$5:$A$404,A392)&gt;1,"DUPLICATE CLIENT",IF(COUNTIF(Clients!$A$5:$A$404,A392)=0,"CLIENT NOT FOUND",IF(B392="","CHOOSE PROFILE",IF(COUNTIF('Billing Profiles'!$A$5:$A$54,B392)=0,"PROFILE NOT FOUND",IF(OR(C392="",D392=""),"COMPLETE BILLING","OK"))))))</x:f>
      </x:c>
    </x:row>
    <x:row r="393">
      <x:c r="D393" s="104"/>
      <x:c r="G393" s="100" t="str">
        <x:f>IF(A393="","",IF(COUNTIF($A$5:$A$404,A393)&gt;1,"DUPLICATE CLIENT",IF(COUNTIF(Clients!$A$5:$A$404,A393)=0,"CLIENT NOT FOUND",IF(B393="","CHOOSE PROFILE",IF(COUNTIF('Billing Profiles'!$A$5:$A$54,B393)=0,"PROFILE NOT FOUND",IF(OR(C393="",D393=""),"COMPLETE BILLING","OK"))))))</x:f>
      </x:c>
    </x:row>
    <x:row r="394">
      <x:c r="D394" s="104"/>
      <x:c r="G394" s="100" t="str">
        <x:f>IF(A394="","",IF(COUNTIF($A$5:$A$404,A394)&gt;1,"DUPLICATE CLIENT",IF(COUNTIF(Clients!$A$5:$A$404,A394)=0,"CLIENT NOT FOUND",IF(B394="","CHOOSE PROFILE",IF(COUNTIF('Billing Profiles'!$A$5:$A$54,B394)=0,"PROFILE NOT FOUND",IF(OR(C394="",D394=""),"COMPLETE BILLING","OK"))))))</x:f>
      </x:c>
    </x:row>
    <x:row r="395">
      <x:c r="D395" s="104"/>
      <x:c r="G395" s="100" t="str">
        <x:f>IF(A395="","",IF(COUNTIF($A$5:$A$404,A395)&gt;1,"DUPLICATE CLIENT",IF(COUNTIF(Clients!$A$5:$A$404,A395)=0,"CLIENT NOT FOUND",IF(B395="","CHOOSE PROFILE",IF(COUNTIF('Billing Profiles'!$A$5:$A$54,B395)=0,"PROFILE NOT FOUND",IF(OR(C395="",D395=""),"COMPLETE BILLING","OK"))))))</x:f>
      </x:c>
    </x:row>
    <x:row r="396">
      <x:c r="D396" s="104"/>
      <x:c r="G396" s="100" t="str">
        <x:f>IF(A396="","",IF(COUNTIF($A$5:$A$404,A396)&gt;1,"DUPLICATE CLIENT",IF(COUNTIF(Clients!$A$5:$A$404,A396)=0,"CLIENT NOT FOUND",IF(B396="","CHOOSE PROFILE",IF(COUNTIF('Billing Profiles'!$A$5:$A$54,B396)=0,"PROFILE NOT FOUND",IF(OR(C396="",D396=""),"COMPLETE BILLING","OK"))))))</x:f>
      </x:c>
    </x:row>
    <x:row r="397">
      <x:c r="D397" s="104"/>
      <x:c r="G397" s="100" t="str">
        <x:f>IF(A397="","",IF(COUNTIF($A$5:$A$404,A397)&gt;1,"DUPLICATE CLIENT",IF(COUNTIF(Clients!$A$5:$A$404,A397)=0,"CLIENT NOT FOUND",IF(B397="","CHOOSE PROFILE",IF(COUNTIF('Billing Profiles'!$A$5:$A$54,B397)=0,"PROFILE NOT FOUND",IF(OR(C397="",D397=""),"COMPLETE BILLING","OK"))))))</x:f>
      </x:c>
    </x:row>
    <x:row r="398">
      <x:c r="D398" s="104"/>
      <x:c r="G398" s="100" t="str">
        <x:f>IF(A398="","",IF(COUNTIF($A$5:$A$404,A398)&gt;1,"DUPLICATE CLIENT",IF(COUNTIF(Clients!$A$5:$A$404,A398)=0,"CLIENT NOT FOUND",IF(B398="","CHOOSE PROFILE",IF(COUNTIF('Billing Profiles'!$A$5:$A$54,B398)=0,"PROFILE NOT FOUND",IF(OR(C398="",D398=""),"COMPLETE BILLING","OK"))))))</x:f>
      </x:c>
    </x:row>
    <x:row r="399">
      <x:c r="D399" s="104"/>
      <x:c r="G399" s="100" t="str">
        <x:f>IF(A399="","",IF(COUNTIF($A$5:$A$404,A399)&gt;1,"DUPLICATE CLIENT",IF(COUNTIF(Clients!$A$5:$A$404,A399)=0,"CLIENT NOT FOUND",IF(B399="","CHOOSE PROFILE",IF(COUNTIF('Billing Profiles'!$A$5:$A$54,B399)=0,"PROFILE NOT FOUND",IF(OR(C399="",D399=""),"COMPLETE BILLING","OK"))))))</x:f>
      </x:c>
    </x:row>
    <x:row r="400">
      <x:c r="D400" s="104"/>
      <x:c r="G400" s="100" t="str">
        <x:f>IF(A400="","",IF(COUNTIF($A$5:$A$404,A400)&gt;1,"DUPLICATE CLIENT",IF(COUNTIF(Clients!$A$5:$A$404,A400)=0,"CLIENT NOT FOUND",IF(B400="","CHOOSE PROFILE",IF(COUNTIF('Billing Profiles'!$A$5:$A$54,B400)=0,"PROFILE NOT FOUND",IF(OR(C400="",D400=""),"COMPLETE BILLING","OK"))))))</x:f>
      </x:c>
    </x:row>
    <x:row r="401">
      <x:c r="D401" s="104"/>
      <x:c r="G401" s="100" t="str">
        <x:f>IF(A401="","",IF(COUNTIF($A$5:$A$404,A401)&gt;1,"DUPLICATE CLIENT",IF(COUNTIF(Clients!$A$5:$A$404,A401)=0,"CLIENT NOT FOUND",IF(B401="","CHOOSE PROFILE",IF(COUNTIF('Billing Profiles'!$A$5:$A$54,B401)=0,"PROFILE NOT FOUND",IF(OR(C401="",D401=""),"COMPLETE BILLING","OK"))))))</x:f>
      </x:c>
    </x:row>
    <x:row r="402">
      <x:c r="D402" s="104"/>
      <x:c r="G402" s="100" t="str">
        <x:f>IF(A402="","",IF(COUNTIF($A$5:$A$404,A402)&gt;1,"DUPLICATE CLIENT",IF(COUNTIF(Clients!$A$5:$A$404,A402)=0,"CLIENT NOT FOUND",IF(B402="","CHOOSE PROFILE",IF(COUNTIF('Billing Profiles'!$A$5:$A$54,B402)=0,"PROFILE NOT FOUND",IF(OR(C402="",D402=""),"COMPLETE BILLING","OK"))))))</x:f>
      </x:c>
    </x:row>
    <x:row r="403">
      <x:c r="D403" s="104"/>
      <x:c r="G403" s="100" t="str">
        <x:f>IF(A403="","",IF(COUNTIF($A$5:$A$404,A403)&gt;1,"DUPLICATE CLIENT",IF(COUNTIF(Clients!$A$5:$A$404,A403)=0,"CLIENT NOT FOUND",IF(B403="","CHOOSE PROFILE",IF(COUNTIF('Billing Profiles'!$A$5:$A$54,B403)=0,"PROFILE NOT FOUND",IF(OR(C403="",D403=""),"COMPLETE BILLING","OK"))))))</x:f>
      </x:c>
    </x:row>
    <x:row r="404">
      <x:c r="D404" s="104"/>
      <x:c r="G404" s="100" t="str">
        <x:f>IF(A404="","",IF(COUNTIF($A$5:$A$404,A404)&gt;1,"DUPLICATE CLIENT",IF(COUNTIF(Clients!$A$5:$A$404,A404)=0,"CLIENT NOT FOUND",IF(B404="","CHOOSE PROFILE",IF(COUNTIF('Billing Profiles'!$A$5:$A$54,B404)=0,"PROFILE NOT FOUND",IF(OR(C404="",D404=""),"COMPLETE BILLING","OK"))))))</x:f>
      </x:c>
    </x:row>
  </x:sheetData>
  <x:mergeCells>
    <x:mergeCell ref="A1:G1"/>
    <x:mergeCell ref="A2:G2"/>
  </x:mergeCells>
  <x:conditionalFormatting sqref="G5:G404">
    <x:cfRule type="expression" dxfId="16" priority="1">
      <x:formula>AND($G5&lt;&gt;"",$G5&lt;&gt;"OK",$G5&lt;&gt;"NOT USED")</x:formula>
    </x:cfRule>
    <x:cfRule type="expression" dxfId="17" priority="2">
      <x:formula>$G5="OK"</x:formula>
    </x:cfRule>
  </x:conditionalFormatting>
  <x:dataValidations count="4">
    <x:dataValidation type="list" sqref="A5:A404">
      <x:formula1>Clients!$A$5:$A$404</x:formula1>
    </x:dataValidation>
    <x:dataValidation type="list" sqref="B5:B404">
      <x:formula1>'Billing Profiles'!$A$5:$A$54</x:formula1>
    </x:dataValidation>
    <x:dataValidation type="list" sqref="C5:C404">
      <x:formula1>"Per Visit,Monthly Fixed"</x:formula1>
    </x:dataValidation>
    <x:dataValidation type="list" sqref="E5:E404">
      <x:formula1>"1,2,3,4,5,6,7,8,9,10,11,12,13,14,15,16,17,18,19,20,21,22,23,24,25,26,27,28,29,30,31"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4" t="str">
        <x:v>Check</x:v>
      </x:c>
      <x:c r="B1" s="4"/>
      <x:c r="C1" s="4"/>
      <x:c r="D1" s="4"/>
      <x:c r="E1" s="4"/>
      <x:c r="F1" s="4"/>
    </x:row>
    <x:row r="2" ht="30" customHeight="1">
      <x:c r="A2" s="9" t="str">
        <x:v>Resolve the items shown here before importing. The import screen runs the same checks again before anything is changed.</x:v>
      </x:c>
      <x:c r="B2" s="9"/>
      <x:c r="C2" s="9"/>
      <x:c r="D2" s="9"/>
      <x:c r="E2" s="9"/>
      <x:c r="F2" s="9"/>
    </x:row>
    <x:row r="4">
      <x:c r="A4" s="94" t="str">
        <x:v>Business</x:v>
      </x:c>
      <x:c r="B4" s="94" t="str">
        <x:v>Value</x:v>
      </x:c>
      <x:c r="D4" s="107" t="str">
        <x:v>A complete workbook means:
• Services is the master service list.
• Every active client has at least one service.
• Every standard visit is included in the 4-week schedule.
• Custom-frequency clients must still have their actual standard visits listed.
• Full Service has a valid Billing Profile and billing row for each active client.
• Archived is the explicit instruction to remove a client from future work.</x:v>
      </x:c>
      <x:c r="E4" s="107"/>
      <x:c r="F4" s="107"/>
    </x:row>
    <x:row r="5">
      <x:c r="A5" t="str">
        <x:v>Business Name</x:v>
      </x:c>
      <x:c r="B5" t="str">
        <x:f>IF(Setup!B5="","",Setup!B5)</x:f>
      </x:c>
      <x:c r="D5" s="107"/>
      <x:c r="E5" s="107"/>
      <x:c r="F5" s="107"/>
    </x:row>
    <x:row r="6">
      <x:c r="A6" t="str">
        <x:v>Mode</x:v>
      </x:c>
      <x:c r="B6" t="str">
        <x:f>Setup!B4</x:f>
        <x:v>FULL SERVICE</x:v>
      </x:c>
      <x:c r="D6" s="107"/>
      <x:c r="E6" s="107"/>
      <x:c r="F6" s="107"/>
    </x:row>
    <x:row r="7">
      <x:c r="A7" t="str">
        <x:v>Business Details</x:v>
      </x:c>
      <x:c r="B7" t="str">
        <x:f>IF(OR(Setup!B5="",Setup!B7="",AND(Setup!B8="",Setup!B9="")),"COMPLETE SETUP","OK")</x:f>
        <x:v>COMPLETE SETUP</x:v>
      </x:c>
      <x:c r="D7" s="107"/>
      <x:c r="E7" s="107"/>
      <x:c r="F7" s="107"/>
    </x:row>
    <x:row r="8">
      <x:c r="D8" s="107"/>
      <x:c r="E8" s="107"/>
      <x:c r="F8" s="107"/>
    </x:row>
    <x:row r="9">
      <x:c r="A9" s="94" t="str">
        <x:v>Business Setup</x:v>
      </x:c>
      <x:c r="B9" s="94" t="str">
        <x:v>Count</x:v>
      </x:c>
      <x:c r="D9" s="107"/>
      <x:c r="E9" s="107"/>
      <x:c r="F9" s="107"/>
    </x:row>
    <x:row r="10">
      <x:c r="A10" t="str">
        <x:v>Services</x:v>
      </x:c>
      <x:c r="B10" t="n">
        <x:f>COUNTIF(Services!$A$5:$A$104,"&lt;&gt;")</x:f>
        <x:v>12</x:v>
      </x:c>
      <x:c r="D10" s="107"/>
      <x:c r="E10" s="107"/>
      <x:c r="F10" s="107"/>
    </x:row>
    <x:row r="11">
      <x:c r="A11" t="str">
        <x:v>Teams</x:v>
      </x:c>
      <x:c r="B11" t="n">
        <x:f>COUNTIF(Teams!$A$5:$A$104,"&lt;&gt;")</x:f>
        <x:v>0</x:v>
      </x:c>
      <x:c r="D11" s="107"/>
      <x:c r="E11" s="107"/>
      <x:c r="F11" s="107"/>
    </x:row>
    <x:row r="12">
      <x:c r="A12" t="str">
        <x:v>Active Clients</x:v>
      </x:c>
      <x:c r="B12" t="n">
        <x:f>COUNTIF(Clients!$B$5:$B$404,"Active")</x:f>
        <x:v>0</x:v>
      </x:c>
      <x:c r="D12" s="107"/>
      <x:c r="E12" s="107"/>
      <x:c r="F12" s="107"/>
    </x:row>
    <x:row r="13">
      <x:c r="D13" s="107"/>
      <x:c r="E13" s="107"/>
      <x:c r="F13" s="107"/>
    </x:row>
    <x:row r="14">
      <x:c r="A14" s="94" t="str">
        <x:v>Needs Attention</x:v>
      </x:c>
      <x:c r="B14" s="94" t="str">
        <x:v>Count</x:v>
      </x:c>
      <x:c r="D14" s="107"/>
      <x:c r="E14" s="107"/>
      <x:c r="F14" s="107"/>
    </x:row>
    <x:row r="15">
      <x:c r="A15" t="str">
        <x:v>Client details</x:v>
      </x:c>
      <x:c r="B15" t="n">
        <x:f>COUNTIFS(Clients!$A$5:$A$404,"&lt;&gt;",Clients!$N$5:$N$404,"&lt;&gt;OK")</x:f>
        <x:v>0</x:v>
      </x:c>
      <x:c r="D15" s="107"/>
      <x:c r="E15" s="107"/>
      <x:c r="F15" s="107"/>
    </x:row>
    <x:row r="16">
      <x:c r="A16" t="str">
        <x:v>Clients missing services</x:v>
      </x:c>
      <x:c r="B16" t="n">
        <x:f>COUNTIF(Clients!$L$5:$L$404,"ADD SERVICES")</x:f>
        <x:v>0</x:v>
      </x:c>
    </x:row>
    <x:row r="17">
      <x:c r="A17" t="str">
        <x:v>Clients not fully scheduled</x:v>
      </x:c>
      <x:c r="B17" t="n">
        <x:f>COUNTIFS(Clients!$B$5:$B$404,"Active",Clients!$M$5:$M$404,"&lt;&gt;OK")</x:f>
        <x:v>0</x:v>
      </x:c>
    </x:row>
    <x:row r="18">
      <x:c r="A18" t="str">
        <x:v>Client Services errors</x:v>
      </x:c>
      <x:c r="B18" t="n">
        <x:f>COUNTIFS('Client Services'!$A$5:$A$1004,"&lt;&gt;",'Client Services'!$D$5:$D$1004,"&lt;&gt;OK")</x:f>
        <x:v>0</x:v>
      </x:c>
    </x:row>
    <x:row r="19">
      <x:c r="A19" t="str">
        <x:v>Schedule errors</x:v>
      </x:c>
      <x:c r="B19" t="n">
        <x:f>COUNTIFS(Schedule!$A$5:$A$1204,"&lt;&gt;",Schedule!$G$5:$G$1204,"&lt;&gt;OK")</x:f>
        <x:v>0</x:v>
      </x:c>
    </x:row>
    <x:row r="20">
      <x:c r="A20" t="str">
        <x:v>Billing Profile errors</x:v>
      </x:c>
      <x:c r="B20" t="n">
        <x:f>IF(Setup!$B$4="PLANNING ONLY",0,COUNTIFS('Billing Profiles'!$A$5:$A$54,"&lt;&gt;",'Billing Profiles'!$V$5:$V$54,"&lt;&gt;OK"))</x:f>
        <x:v>1</x:v>
      </x:c>
    </x:row>
    <x:row r="21">
      <x:c r="A21" t="str">
        <x:v>Client Billing errors</x:v>
      </x:c>
      <x:c r="B21" t="n">
        <x:f>IF(Setup!$B$4="PLANNING ONLY",0,COUNTIFS('Client Billing'!$A$5:$A$404,"&lt;&gt;",'Client Billing'!$G$5:$G$404,"&lt;&gt;OK"))</x:f>
        <x:v>0</x:v>
      </x:c>
    </x:row>
    <x:row r="22">
      <x:c r="A22" t="str">
        <x:v>Active clients without billing</x:v>
      </x:c>
      <x:c r="B22" t="n">
        <x:f>IF(Setup!$B$4="PLANNING ONLY",0,MAX(0,COUNTIF(Clients!$B$5:$B$404,"Active")-COUNTIF('Client Billing'!$G$5:$G$404,"OK")))</x:f>
        <x:v>0</x:v>
      </x:c>
    </x:row>
    <x:row r="25">
      <x:c r="A25" s="113" t="str">
        <x:f>IF(B7&lt;&gt;"OK","NOT READY - COMPLETE SETUP",IF(B10=0,"NOT READY - ADD SERVICES",IF(B11=0,"NOT READY - ADD TEAMS",IF(B12=0,"NOT READY - ADD CLIENTS",IF(SUM(B15:B19)&gt;0,"NOT READY - COMPLETE PLANNING",IF(AND(Setup!$B$4="FULL SERVICE",SUM(B20:B22)&gt;0),"NOT READY - COMPLETE BILLING","READY TO IMPORT"))))))</x:f>
        <x:v>NOT READY - COMPLETE SETUP</x:v>
      </x:c>
      <x:c r="B25" s="113"/>
      <x:c r="C25" s="113"/>
      <x:c r="D25" s="113"/>
      <x:c r="E25" s="113"/>
      <x:c r="F25" s="113"/>
    </x:row>
    <x:row r="26">
      <x:c r="A26" s="113"/>
      <x:c r="B26" s="113"/>
      <x:c r="C26" s="113"/>
      <x:c r="D26" s="113"/>
      <x:c r="E26" s="113"/>
      <x:c r="F26" s="113"/>
    </x:row>
    <x:row r="27">
      <x:c r="A27" s="113"/>
      <x:c r="B27" s="113"/>
      <x:c r="C27" s="113"/>
      <x:c r="D27" s="113"/>
      <x:c r="E27" s="113"/>
      <x:c r="F27" s="113"/>
    </x:row>
  </x:sheetData>
  <x:mergeCells>
    <x:mergeCell ref="A1:F1"/>
    <x:mergeCell ref="A2:F2"/>
    <x:mergeCell ref="D4:F15"/>
    <x:mergeCell ref="A25:F27"/>
  </x:mergeCells>
  <x:conditionalFormatting sqref="A25:F27">
    <x:cfRule type="expression" dxfId="18" priority="1">
      <x:formula>$A$25="READY TO IMPORT"</x:formula>
    </x:cfRule>
    <x:cfRule type="expression" dxfId="19" priority="2">
      <x:formula>$A$25&lt;&gt;"READY TO IMPORT"</x:formula>
    </x:cfRule>
  </x:conditionalFormatting>
  <x:conditionalFormatting sqref="B7:B7">
    <x:cfRule type="expression" dxfId="20" priority="3">
      <x:formula>$B$7&lt;&gt;"OK"</x:formula>
    </x:cfRule>
  </x:conditionalFormatting>
  <x:conditionalFormatting sqref="B15:B22">
    <x:cfRule type="expression" dxfId="21" priority="4">
      <x:formula>B15&gt;0</x:formula>
    </x:cfRule>
  </x:conditionalFormatting>
  <x:pageMargins left="0.7" right="0.7" top="0.75" bottom="0.75" header="0.3" footer="0.3"/>
</x:worksheet>
</file>